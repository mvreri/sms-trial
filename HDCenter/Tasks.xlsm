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F2" i="1"/>
  <c r="B2"/>
  <c r="B5"/>
  <c r="B4"/>
  <c r="B3"/>
</calcChain>
</file>

<file path=xl/sharedStrings.xml><?xml version="1.0" encoding="utf-8"?>
<sst xmlns="http://schemas.openxmlformats.org/spreadsheetml/2006/main" count="145" uniqueCount="101">
  <si>
    <t>Refactor the adapters</t>
  </si>
  <si>
    <t>refactor</t>
  </si>
  <si>
    <t>Main features, must do</t>
  </si>
  <si>
    <t>Must have</t>
  </si>
  <si>
    <t>Very nice to have</t>
  </si>
  <si>
    <t>bug</t>
  </si>
  <si>
    <t>Category</t>
  </si>
  <si>
    <t>Importance</t>
  </si>
  <si>
    <t>major</t>
  </si>
  <si>
    <t>Notes</t>
  </si>
  <si>
    <t>Done</t>
  </si>
  <si>
    <t>Imp.</t>
  </si>
  <si>
    <t>Where</t>
  </si>
  <si>
    <t>Task</t>
  </si>
  <si>
    <t>improvement</t>
  </si>
  <si>
    <t>#Done tasks</t>
  </si>
  <si>
    <t>Focus on task</t>
  </si>
  <si>
    <t>Bug</t>
  </si>
  <si>
    <t>#Todo tasks</t>
  </si>
  <si>
    <t>#Pending tasks</t>
  </si>
  <si>
    <t>Nice to have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</si>
  <si>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</si>
  <si>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</si>
  <si>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</si>
  <si>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</si>
  <si>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</si>
  <si>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</si>
  <si>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</si>
  <si>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Chek-in</t>
  </si>
  <si>
    <t>Check-out</t>
  </si>
  <si>
    <t>API Search</t>
  </si>
  <si>
    <t>API</t>
  </si>
  <si>
    <t>API Recommend movies</t>
  </si>
  <si>
    <t>API new movies</t>
  </si>
  <si>
    <t>API movie details</t>
  </si>
  <si>
    <t>API top 100 movies of all the time</t>
  </si>
  <si>
    <t>API Oscar best movies</t>
  </si>
  <si>
    <t>API tra cuu phim theo the loai</t>
  </si>
  <si>
    <t>Helpers.java</t>
  </si>
  <si>
    <t>turn off DEBUG_MODE</t>
  </si>
  <si>
    <t>turn off debugable</t>
  </si>
  <si>
    <t>AndroidManifest.xml</t>
  </si>
  <si>
    <t>ImageLoader</t>
  </si>
  <si>
    <t>Lib</t>
  </si>
  <si>
    <t>ImageLoader Test</t>
  </si>
  <si>
    <t>Lib/Test</t>
  </si>
  <si>
    <t>PHS_TabHost</t>
  </si>
  <si>
    <t>PHS_TabHost test</t>
  </si>
  <si>
    <t>Lib/test</t>
  </si>
  <si>
    <t>ImageLoader: auto clean on SDCard</t>
  </si>
  <si>
    <t>ImageLoader: auto clean memory</t>
  </si>
  <si>
    <t>UI</t>
  </si>
  <si>
    <t xml:space="preserve">Remember list pos when moving between tabs </t>
  </si>
  <si>
    <t>Tab</t>
  </si>
  <si>
    <t xml:space="preserve">Remember last tab when app is restarted </t>
  </si>
  <si>
    <t>UX</t>
  </si>
  <si>
    <t>Push down softkeyboard</t>
  </si>
  <si>
    <t>Main views/Search</t>
  </si>
  <si>
    <t>Hide Play youtube trailer button on no id return</t>
  </si>
  <si>
    <t xml:space="preserve">Change orientation trong detail movie: loi </t>
  </si>
  <si>
    <t>ShowMovieDetails</t>
  </si>
  <si>
    <t>Cache request</t>
  </si>
  <si>
    <t>Bug: no info when coming back from trailer video</t>
  </si>
  <si>
    <t>More</t>
  </si>
  <si>
    <t>Khap noi</t>
  </si>
  <si>
    <t>Bug: Imageloader thinh thoang ko load dc anh, de anh default</t>
  </si>
  <si>
    <t>Thay icon: default film/search/home/turn off</t>
  </si>
  <si>
    <t>Show buffering in video view !</t>
  </si>
  <si>
    <t>Search results: sort by IMDB</t>
  </si>
  <si>
    <t>Server</t>
  </si>
  <si>
    <t>Movie suggest: tu nam 90 do di</t>
  </si>
  <si>
    <t>Bug: Search 2 keywords and click on a movie , back</t>
  </si>
  <si>
    <t>SearchMovies</t>
  </si>
  <si>
    <t>Bug: khi restart lai app - highlight first but show 2nd tab</t>
  </si>
  <si>
    <t>Later: after fix server return</t>
  </si>
  <si>
    <t>Search: enter to search</t>
  </si>
  <si>
    <t>Search/HDActivity</t>
  </si>
  <si>
    <t>Search API: improve it : vampire suck -&gt; no results !</t>
  </si>
  <si>
    <t>Make better icons &amp; UI</t>
  </si>
  <si>
    <t>Bug: Search "lo" chon 1 film bat ki, click vao - ra, click lai: mat picture</t>
  </si>
  <si>
    <t>Imageloader</t>
  </si>
  <si>
    <t>View.post() is evil - use Handler.post() instead !</t>
  </si>
  <si>
    <t xml:space="preserve">Bug: sua lai Imageloader - neu stub = -1 -&gt; ko load </t>
  </si>
  <si>
    <t>Summary item: Year &amp; genre</t>
  </si>
  <si>
    <t>Movie details: director + bottom bars (trailer+share+hdcenter+…)</t>
  </si>
  <si>
    <t>Search: luoc toan bo dau</t>
  </si>
  <si>
    <t>Feature</t>
  </si>
  <si>
    <t>Alternative: 1.Youtube 2.Custom player</t>
  </si>
  <si>
    <t>After search: select all search keyword !</t>
  </si>
  <si>
    <t>Another solution</t>
  </si>
  <si>
    <t>Feature: add last tabs: New, genre , collections</t>
  </si>
  <si>
    <t>Bug: Image loader ko hien stub image khi load hinh moi</t>
  </si>
  <si>
    <t>Check orientation change for all activities</t>
  </si>
  <si>
    <t>Gioi han film 6.0</t>
  </si>
  <si>
    <t>Activity NewMovies</t>
  </si>
  <si>
    <t>Activity MovieGenres</t>
  </si>
  <si>
    <t>Activity MovieCollections</t>
  </si>
  <si>
    <t>MainFeature</t>
  </si>
  <si>
    <t>Select all words in search auto edittext (better UI), whenever the results is there</t>
  </si>
  <si>
    <t>Refactor Topbar &amp; Movie list view</t>
  </si>
  <si>
    <t>MovieListControl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</si>
</sst>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/>
    <xf numFmtId="0" fontId="0" fillId="2" borderId="0" xfId="0" applyFill="1"/>
    <xf numFmtId="0" fontId="0" fillId="2" borderId="0" xfId="0" applyFont="1" applyFill="1"/>
    <xf numFmtId="0" fontId="2" fillId="2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53"/>
  <sheetViews>
    <sheetView tabSelected="1" workbookViewId="0">
      <selection activeCell="D18" sqref="D18"/>
    </sheetView>
  </sheetViews>
  <sheetFormatPr defaultColWidth="9.125" defaultRowHeight="14.25"/>
  <cols>
    <col min="1" max="1" width="51.375" style="2" bestFit="1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16</v>
      </c>
      <c r="B2" s="25" t="str">
        <f>A7</f>
        <v>Activity MovieGenres</v>
      </c>
      <c r="C2" s="25"/>
      <c r="D2" s="25"/>
      <c r="E2" s="25"/>
      <c r="F2" s="11" t="str">
        <f>CONCATENATE("At: ",B7)</f>
        <v xml:space="preserve">At: </v>
      </c>
      <c r="G2" s="13"/>
    </row>
    <row r="3" spans="1:7" ht="15">
      <c r="A3" s="7" t="s">
        <v>18</v>
      </c>
      <c r="B3" s="24">
        <f>COUNTIF(E7:E105,"0")</f>
        <v>24</v>
      </c>
      <c r="C3" s="24"/>
      <c r="D3" s="24"/>
      <c r="E3" s="24"/>
      <c r="F3" s="17"/>
      <c r="G3" s="15"/>
    </row>
    <row r="4" spans="1:7" ht="15">
      <c r="A4" s="8" t="s">
        <v>15</v>
      </c>
      <c r="B4" s="23">
        <f>COUNTIF(E6:E104,"1")</f>
        <v>22</v>
      </c>
      <c r="C4" s="23"/>
      <c r="D4" s="23"/>
      <c r="E4" s="23"/>
      <c r="F4" s="14"/>
      <c r="G4" s="14"/>
    </row>
    <row r="5" spans="1:7">
      <c r="A5" s="16" t="s">
        <v>19</v>
      </c>
      <c r="B5" s="26">
        <f>COUNT(E7:E105)-(COUNTIF(E7:E105,"1")+COUNTIF(E7:E105,"0"))</f>
        <v>1</v>
      </c>
      <c r="C5" s="26"/>
      <c r="D5" s="26"/>
      <c r="E5" s="26"/>
    </row>
    <row r="6" spans="1:7" s="3" customFormat="1" ht="15">
      <c r="A6" s="3" t="s">
        <v>13</v>
      </c>
      <c r="B6" s="3" t="s">
        <v>12</v>
      </c>
      <c r="C6" s="3" t="s">
        <v>6</v>
      </c>
      <c r="D6" s="6" t="s">
        <v>11</v>
      </c>
      <c r="E6" s="3" t="s">
        <v>10</v>
      </c>
    </row>
    <row r="7" spans="1:7">
      <c r="A7" s="2" t="s">
        <v>95</v>
      </c>
      <c r="C7" s="2" t="s">
        <v>97</v>
      </c>
      <c r="D7" s="18">
        <v>1</v>
      </c>
      <c r="E7" s="18">
        <v>0</v>
      </c>
    </row>
    <row r="8" spans="1:7">
      <c r="A8" s="2" t="s">
        <v>96</v>
      </c>
      <c r="C8" s="2" t="s">
        <v>97</v>
      </c>
      <c r="D8" s="18">
        <v>1</v>
      </c>
      <c r="E8" s="18">
        <v>0</v>
      </c>
    </row>
    <row r="9" spans="1:7">
      <c r="A9" s="2" t="s">
        <v>82</v>
      </c>
      <c r="B9" s="2" t="s">
        <v>80</v>
      </c>
      <c r="C9" s="2" t="s">
        <v>17</v>
      </c>
      <c r="D9" s="18">
        <v>2</v>
      </c>
      <c r="E9" s="18">
        <v>0</v>
      </c>
    </row>
    <row r="10" spans="1:7">
      <c r="A10" s="2" t="s">
        <v>35</v>
      </c>
      <c r="C10" s="2" t="s">
        <v>31</v>
      </c>
      <c r="D10" s="18">
        <v>2</v>
      </c>
      <c r="E10" s="18">
        <v>0</v>
      </c>
    </row>
    <row r="11" spans="1:7">
      <c r="A11" s="2" t="s">
        <v>36</v>
      </c>
      <c r="B11" s="18"/>
      <c r="C11" s="2" t="s">
        <v>31</v>
      </c>
      <c r="D11" s="18">
        <v>2</v>
      </c>
      <c r="E11" s="18">
        <v>0</v>
      </c>
    </row>
    <row r="12" spans="1:7" ht="18" customHeight="1">
      <c r="A12" s="2" t="s">
        <v>37</v>
      </c>
      <c r="B12" s="18"/>
      <c r="C12" s="2" t="s">
        <v>31</v>
      </c>
      <c r="D12" s="18">
        <v>2</v>
      </c>
      <c r="E12" s="18">
        <v>0</v>
      </c>
      <c r="F12" s="18"/>
    </row>
    <row r="13" spans="1:7" s="4" customFormat="1">
      <c r="A13" s="2" t="s">
        <v>78</v>
      </c>
      <c r="B13" s="2"/>
      <c r="C13" s="2" t="s">
        <v>51</v>
      </c>
      <c r="D13" s="18">
        <v>2</v>
      </c>
      <c r="E13" s="18">
        <v>0</v>
      </c>
      <c r="F13" s="2"/>
    </row>
    <row r="14" spans="1:7">
      <c r="A14" s="2" t="s">
        <v>83</v>
      </c>
      <c r="C14" s="2" t="s">
        <v>51</v>
      </c>
      <c r="D14" s="18">
        <v>2</v>
      </c>
      <c r="E14" s="18">
        <v>0</v>
      </c>
    </row>
    <row r="15" spans="1:7">
      <c r="A15" s="2" t="s">
        <v>84</v>
      </c>
      <c r="C15" s="2" t="s">
        <v>51</v>
      </c>
      <c r="D15" s="18">
        <v>2</v>
      </c>
      <c r="E15" s="18">
        <v>0</v>
      </c>
    </row>
    <row r="16" spans="1:7">
      <c r="A16" s="2" t="s">
        <v>85</v>
      </c>
      <c r="C16" s="2" t="s">
        <v>86</v>
      </c>
      <c r="D16" s="18">
        <v>2</v>
      </c>
      <c r="E16" s="18">
        <v>0</v>
      </c>
    </row>
    <row r="17" spans="1:6">
      <c r="A17" s="2" t="s">
        <v>87</v>
      </c>
      <c r="C17" s="2" t="s">
        <v>86</v>
      </c>
      <c r="D17" s="18">
        <v>2</v>
      </c>
      <c r="E17" s="18">
        <v>0</v>
      </c>
    </row>
    <row r="18" spans="1:6">
      <c r="A18" s="2" t="s">
        <v>54</v>
      </c>
      <c r="B18" s="18"/>
      <c r="C18" s="2" t="s">
        <v>55</v>
      </c>
      <c r="D18" s="18">
        <v>3</v>
      </c>
      <c r="E18" s="18">
        <v>0</v>
      </c>
      <c r="F18" s="18"/>
    </row>
    <row r="19" spans="1:6">
      <c r="A19" s="2" t="s">
        <v>58</v>
      </c>
      <c r="B19" s="18"/>
      <c r="C19" s="2" t="s">
        <v>51</v>
      </c>
      <c r="D19" s="18">
        <v>3</v>
      </c>
      <c r="E19" s="18">
        <v>0</v>
      </c>
      <c r="F19" s="18"/>
    </row>
    <row r="20" spans="1:6">
      <c r="A20" s="2" t="s">
        <v>67</v>
      </c>
      <c r="B20" s="18"/>
      <c r="C20" s="2" t="s">
        <v>51</v>
      </c>
      <c r="D20" s="18">
        <v>3</v>
      </c>
      <c r="E20" s="18">
        <v>0</v>
      </c>
      <c r="F20" s="18"/>
    </row>
    <row r="21" spans="1:6">
      <c r="A21" s="4" t="s">
        <v>70</v>
      </c>
      <c r="B21" s="4"/>
      <c r="C21" s="4" t="s">
        <v>69</v>
      </c>
      <c r="D21" s="4">
        <v>3</v>
      </c>
      <c r="E21" s="4">
        <v>0</v>
      </c>
      <c r="F21" s="18"/>
    </row>
    <row r="22" spans="1:6">
      <c r="A22" s="2" t="s">
        <v>75</v>
      </c>
      <c r="B22" s="2" t="s">
        <v>76</v>
      </c>
      <c r="C22" s="2" t="s">
        <v>51</v>
      </c>
      <c r="D22" s="18">
        <v>3</v>
      </c>
      <c r="E22" s="18">
        <v>0</v>
      </c>
    </row>
    <row r="23" spans="1:6">
      <c r="A23" s="2" t="s">
        <v>77</v>
      </c>
      <c r="C23" s="2" t="s">
        <v>69</v>
      </c>
      <c r="D23" s="18">
        <v>3</v>
      </c>
      <c r="E23" s="18">
        <v>0</v>
      </c>
    </row>
    <row r="24" spans="1:6">
      <c r="A24" s="2" t="s">
        <v>88</v>
      </c>
      <c r="C24" s="2" t="s">
        <v>51</v>
      </c>
      <c r="D24" s="18">
        <v>3</v>
      </c>
      <c r="E24" s="18">
        <v>0</v>
      </c>
    </row>
    <row r="25" spans="1:6">
      <c r="A25" s="2" t="s">
        <v>91</v>
      </c>
      <c r="B25" s="2" t="s">
        <v>42</v>
      </c>
      <c r="C25" s="2" t="s">
        <v>51</v>
      </c>
      <c r="D25" s="18">
        <v>3</v>
      </c>
      <c r="E25" s="18">
        <v>0</v>
      </c>
    </row>
    <row r="26" spans="1:6">
      <c r="A26" s="2" t="s">
        <v>92</v>
      </c>
      <c r="C26" s="2" t="s">
        <v>51</v>
      </c>
      <c r="D26" s="18">
        <v>3</v>
      </c>
      <c r="E26" s="18">
        <v>0</v>
      </c>
    </row>
    <row r="27" spans="1:6">
      <c r="A27" s="2" t="s">
        <v>93</v>
      </c>
      <c r="C27" s="2" t="s">
        <v>69</v>
      </c>
      <c r="D27" s="18">
        <v>3</v>
      </c>
      <c r="E27" s="18">
        <v>0</v>
      </c>
    </row>
    <row r="28" spans="1:6">
      <c r="A28" s="2" t="s">
        <v>99</v>
      </c>
      <c r="D28" s="18">
        <v>3</v>
      </c>
      <c r="E28" s="18">
        <v>0</v>
      </c>
      <c r="F28" s="2" t="s">
        <v>100</v>
      </c>
    </row>
    <row r="29" spans="1:6">
      <c r="A29" s="4" t="s">
        <v>52</v>
      </c>
      <c r="B29" s="4"/>
      <c r="C29" s="4" t="s">
        <v>53</v>
      </c>
      <c r="D29" s="4">
        <v>4</v>
      </c>
      <c r="E29" s="4">
        <v>0</v>
      </c>
      <c r="F29" s="18"/>
    </row>
    <row r="30" spans="1:6">
      <c r="A30" s="2" t="s">
        <v>98</v>
      </c>
      <c r="D30" s="18">
        <v>4</v>
      </c>
      <c r="E30" s="18">
        <v>0</v>
      </c>
    </row>
    <row r="31" spans="1:6">
      <c r="A31" s="2" t="s">
        <v>63</v>
      </c>
      <c r="B31" s="2" t="s">
        <v>64</v>
      </c>
      <c r="C31" s="2" t="s">
        <v>51</v>
      </c>
      <c r="D31" s="18">
        <v>1</v>
      </c>
      <c r="E31" s="18">
        <v>0.5</v>
      </c>
      <c r="F31" s="18" t="s">
        <v>74</v>
      </c>
    </row>
    <row r="32" spans="1:6">
      <c r="A32" s="2" t="s">
        <v>94</v>
      </c>
      <c r="C32" s="2" t="s">
        <v>97</v>
      </c>
      <c r="D32" s="18">
        <v>1</v>
      </c>
      <c r="E32" s="18">
        <v>1</v>
      </c>
    </row>
    <row r="33" spans="1:6">
      <c r="A33" s="2" t="s">
        <v>90</v>
      </c>
      <c r="C33" s="2" t="s">
        <v>51</v>
      </c>
      <c r="D33" s="18">
        <v>1</v>
      </c>
      <c r="E33" s="2">
        <v>1</v>
      </c>
    </row>
    <row r="34" spans="1:6">
      <c r="A34" s="20" t="s">
        <v>79</v>
      </c>
      <c r="B34" s="20" t="s">
        <v>80</v>
      </c>
      <c r="C34" s="20" t="s">
        <v>17</v>
      </c>
      <c r="D34" s="21">
        <v>1</v>
      </c>
      <c r="E34" s="21">
        <v>1</v>
      </c>
      <c r="F34" s="2" t="s">
        <v>81</v>
      </c>
    </row>
    <row r="35" spans="1:6">
      <c r="A35" s="20" t="s">
        <v>65</v>
      </c>
      <c r="B35" s="21"/>
      <c r="C35" s="20" t="s">
        <v>17</v>
      </c>
      <c r="D35" s="21">
        <v>1</v>
      </c>
      <c r="E35" s="21">
        <v>1</v>
      </c>
      <c r="F35" s="2" t="s">
        <v>81</v>
      </c>
    </row>
    <row r="36" spans="1:6">
      <c r="A36" s="22" t="s">
        <v>61</v>
      </c>
      <c r="B36" s="21"/>
      <c r="C36" s="20" t="s">
        <v>31</v>
      </c>
      <c r="D36" s="21">
        <v>1</v>
      </c>
      <c r="E36" s="21">
        <v>1</v>
      </c>
      <c r="F36" s="18"/>
    </row>
    <row r="37" spans="1:6">
      <c r="A37" s="20" t="s">
        <v>66</v>
      </c>
      <c r="B37" s="21"/>
      <c r="C37" s="20" t="s">
        <v>51</v>
      </c>
      <c r="D37" s="21">
        <v>1</v>
      </c>
      <c r="E37" s="21">
        <v>1</v>
      </c>
      <c r="F37" s="18"/>
    </row>
    <row r="38" spans="1:6">
      <c r="A38" s="20" t="s">
        <v>73</v>
      </c>
      <c r="B38" s="20"/>
      <c r="C38" s="20" t="s">
        <v>17</v>
      </c>
      <c r="D38" s="21">
        <v>1</v>
      </c>
      <c r="E38" s="21">
        <v>1</v>
      </c>
    </row>
    <row r="39" spans="1:6">
      <c r="A39" s="20" t="s">
        <v>50</v>
      </c>
      <c r="B39" s="20" t="s">
        <v>50</v>
      </c>
      <c r="C39" s="20" t="s">
        <v>51</v>
      </c>
      <c r="D39" s="21">
        <v>1</v>
      </c>
      <c r="E39" s="21">
        <v>1</v>
      </c>
      <c r="F39" s="18"/>
    </row>
    <row r="40" spans="1:6">
      <c r="A40" s="20" t="s">
        <v>71</v>
      </c>
      <c r="B40" s="20" t="s">
        <v>72</v>
      </c>
      <c r="C40" s="20" t="s">
        <v>17</v>
      </c>
      <c r="D40" s="21">
        <v>1</v>
      </c>
      <c r="E40" s="21">
        <v>1</v>
      </c>
    </row>
    <row r="41" spans="1:6">
      <c r="A41" s="20" t="s">
        <v>49</v>
      </c>
      <c r="B41" s="21"/>
      <c r="C41" s="20" t="s">
        <v>51</v>
      </c>
      <c r="D41" s="21">
        <v>1</v>
      </c>
      <c r="E41" s="21">
        <v>1</v>
      </c>
      <c r="F41" s="18"/>
    </row>
    <row r="42" spans="1:6">
      <c r="A42" s="20" t="s">
        <v>59</v>
      </c>
      <c r="B42" s="20" t="s">
        <v>60</v>
      </c>
      <c r="C42" s="20" t="s">
        <v>17</v>
      </c>
      <c r="D42" s="21">
        <v>1</v>
      </c>
      <c r="E42" s="21">
        <v>1</v>
      </c>
      <c r="F42" s="18"/>
    </row>
    <row r="43" spans="1:6">
      <c r="A43" s="20" t="s">
        <v>62</v>
      </c>
      <c r="B43" s="21"/>
      <c r="C43" s="20" t="s">
        <v>17</v>
      </c>
      <c r="D43" s="21">
        <v>1</v>
      </c>
      <c r="E43" s="21">
        <v>1</v>
      </c>
      <c r="F43" s="18"/>
    </row>
    <row r="44" spans="1:6" s="20" customFormat="1">
      <c r="A44" s="20" t="s">
        <v>46</v>
      </c>
      <c r="B44" s="21"/>
      <c r="C44" s="20" t="s">
        <v>43</v>
      </c>
      <c r="D44" s="21">
        <v>1</v>
      </c>
      <c r="E44" s="21">
        <v>1</v>
      </c>
      <c r="F44" s="18"/>
    </row>
    <row r="45" spans="1:6">
      <c r="A45" s="20" t="s">
        <v>47</v>
      </c>
      <c r="B45" s="21"/>
      <c r="C45" s="20" t="s">
        <v>48</v>
      </c>
      <c r="D45" s="21">
        <v>1</v>
      </c>
      <c r="E45" s="21">
        <v>1</v>
      </c>
      <c r="F45" s="18"/>
    </row>
    <row r="46" spans="1:6">
      <c r="A46" s="20" t="s">
        <v>42</v>
      </c>
      <c r="B46" s="21"/>
      <c r="C46" s="20" t="s">
        <v>43</v>
      </c>
      <c r="D46" s="21">
        <v>1</v>
      </c>
      <c r="E46" s="21">
        <v>1</v>
      </c>
      <c r="F46" s="18"/>
    </row>
    <row r="47" spans="1:6">
      <c r="A47" s="20" t="s">
        <v>44</v>
      </c>
      <c r="B47" s="21"/>
      <c r="C47" s="20" t="s">
        <v>45</v>
      </c>
      <c r="D47" s="21">
        <v>1</v>
      </c>
      <c r="E47" s="21">
        <v>1</v>
      </c>
      <c r="F47" s="18"/>
    </row>
    <row r="48" spans="1:6">
      <c r="A48" s="20" t="s">
        <v>33</v>
      </c>
      <c r="B48" s="21"/>
      <c r="C48" s="20" t="s">
        <v>31</v>
      </c>
      <c r="D48" s="21">
        <v>1</v>
      </c>
      <c r="E48" s="21">
        <v>1</v>
      </c>
      <c r="F48" s="18"/>
    </row>
    <row r="49" spans="1:6">
      <c r="A49" s="20" t="s">
        <v>34</v>
      </c>
      <c r="B49" s="21"/>
      <c r="C49" s="20" t="s">
        <v>31</v>
      </c>
      <c r="D49" s="21">
        <v>1</v>
      </c>
      <c r="E49" s="21">
        <v>1</v>
      </c>
      <c r="F49" s="18"/>
    </row>
    <row r="50" spans="1:6">
      <c r="A50" s="20" t="s">
        <v>32</v>
      </c>
      <c r="B50" s="21"/>
      <c r="C50" s="20" t="s">
        <v>31</v>
      </c>
      <c r="D50" s="21">
        <v>1</v>
      </c>
      <c r="E50" s="21">
        <v>1</v>
      </c>
      <c r="F50" s="18"/>
    </row>
    <row r="51" spans="1:6">
      <c r="A51" s="20" t="s">
        <v>30</v>
      </c>
      <c r="B51" s="21"/>
      <c r="C51" s="20" t="s">
        <v>31</v>
      </c>
      <c r="D51" s="21">
        <v>1</v>
      </c>
      <c r="E51" s="21">
        <v>1</v>
      </c>
      <c r="F51" s="4"/>
    </row>
    <row r="52" spans="1:6">
      <c r="A52" s="20" t="s">
        <v>68</v>
      </c>
      <c r="B52" s="21"/>
      <c r="C52" s="20" t="s">
        <v>69</v>
      </c>
      <c r="D52" s="21">
        <v>3</v>
      </c>
      <c r="E52" s="21">
        <v>1</v>
      </c>
      <c r="F52" s="20" t="s">
        <v>89</v>
      </c>
    </row>
    <row r="53" spans="1:6">
      <c r="A53" s="20" t="s">
        <v>56</v>
      </c>
      <c r="B53" s="20" t="s">
        <v>57</v>
      </c>
      <c r="C53" s="20" t="s">
        <v>51</v>
      </c>
      <c r="D53" s="21">
        <v>3</v>
      </c>
      <c r="E53" s="21">
        <v>1</v>
      </c>
      <c r="F53" s="18"/>
    </row>
  </sheetData>
  <sortState ref="A7:F53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7" t="s">
        <v>7</v>
      </c>
      <c r="B4" s="27"/>
      <c r="C4" s="27"/>
    </row>
    <row r="5" spans="1:5">
      <c r="A5" s="2">
        <v>1</v>
      </c>
      <c r="B5" s="2" t="s">
        <v>2</v>
      </c>
    </row>
    <row r="6" spans="1:5">
      <c r="A6" s="2">
        <v>2</v>
      </c>
      <c r="B6" s="2" t="s">
        <v>3</v>
      </c>
    </row>
    <row r="7" spans="1:5">
      <c r="A7" s="2">
        <v>3</v>
      </c>
      <c r="B7" s="2" t="s">
        <v>20</v>
      </c>
      <c r="E7" s="2">
        <v>1</v>
      </c>
    </row>
    <row r="8" spans="1:5">
      <c r="A8" s="2">
        <v>4</v>
      </c>
      <c r="B8" s="2" t="s">
        <v>4</v>
      </c>
    </row>
    <row r="12" spans="1:5" ht="15">
      <c r="B12" s="3" t="s">
        <v>6</v>
      </c>
      <c r="C12" s="3" t="s">
        <v>7</v>
      </c>
      <c r="D12" s="3" t="s">
        <v>9</v>
      </c>
    </row>
    <row r="13" spans="1:5">
      <c r="B13" s="2" t="s">
        <v>1</v>
      </c>
      <c r="C13" s="2">
        <v>3</v>
      </c>
    </row>
    <row r="14" spans="1:5">
      <c r="B14" s="2" t="s">
        <v>5</v>
      </c>
      <c r="C14" s="2">
        <v>2</v>
      </c>
    </row>
    <row r="15" spans="1:5">
      <c r="B15" s="2" t="s">
        <v>5</v>
      </c>
      <c r="C15" s="2">
        <v>1</v>
      </c>
      <c r="D15" s="2" t="s">
        <v>8</v>
      </c>
    </row>
    <row r="16" spans="1:5">
      <c r="B16" s="2" t="s">
        <v>14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D13" sqref="D13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17</v>
      </c>
      <c r="B9" s="1" t="s">
        <v>12</v>
      </c>
      <c r="C9" s="1" t="s">
        <v>25</v>
      </c>
      <c r="D9" s="1" t="s">
        <v>10</v>
      </c>
      <c r="E9" s="1" t="s">
        <v>26</v>
      </c>
      <c r="F9" s="1" t="s">
        <v>27</v>
      </c>
      <c r="G9" s="1" t="s">
        <v>28</v>
      </c>
      <c r="H9" s="1" t="s">
        <v>29</v>
      </c>
    </row>
    <row r="10" spans="1:8">
      <c r="A10" t="s">
        <v>21</v>
      </c>
      <c r="B10" t="s">
        <v>22</v>
      </c>
      <c r="C10" t="s">
        <v>23</v>
      </c>
      <c r="D10">
        <v>1</v>
      </c>
      <c r="E10" t="s">
        <v>24</v>
      </c>
      <c r="F10">
        <v>0</v>
      </c>
      <c r="G10" s="19">
        <v>40970</v>
      </c>
    </row>
    <row r="11" spans="1:8">
      <c r="G11" s="19"/>
    </row>
    <row r="12" spans="1:8">
      <c r="G12" s="19"/>
    </row>
    <row r="13" spans="1:8">
      <c r="G13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3"/>
  <sheetViews>
    <sheetView topLeftCell="B1" workbookViewId="0">
      <selection activeCell="C13" sqref="C13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2" s="2" customFormat="1" ht="15">
      <c r="A1" s="3" t="s">
        <v>0</v>
      </c>
    </row>
    <row r="4" spans="1:2" ht="15">
      <c r="A4" s="3"/>
    </row>
    <row r="6" spans="1:2">
      <c r="B6" s="5"/>
    </row>
    <row r="7" spans="1:2" ht="15">
      <c r="B7" s="12"/>
    </row>
    <row r="8" spans="1:2" ht="15">
      <c r="A8" s="1"/>
    </row>
    <row r="11" spans="1:2" ht="15">
      <c r="A11" s="3"/>
    </row>
    <row r="13" spans="1:2">
      <c r="B13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4:B5"/>
  <sheetViews>
    <sheetView workbookViewId="0">
      <selection activeCell="B8" sqref="B8"/>
    </sheetView>
  </sheetViews>
  <sheetFormatPr defaultRowHeight="14.25"/>
  <cols>
    <col min="1" max="1" width="20.875" bestFit="1" customWidth="1"/>
    <col min="2" max="2" width="49.375" bestFit="1" customWidth="1"/>
  </cols>
  <sheetData>
    <row r="4" spans="1:2">
      <c r="A4" t="s">
        <v>39</v>
      </c>
      <c r="B4" t="s">
        <v>38</v>
      </c>
    </row>
    <row r="5" spans="1:2">
      <c r="A5" t="s">
        <v>40</v>
      </c>
      <c r="B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2012-04-25T16:49:06Z</dcterms:modified>
</cp:coreProperties>
</file>