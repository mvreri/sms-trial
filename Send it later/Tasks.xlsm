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5195" windowHeight="8715" activeTab="2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<sst xmlns="http://schemas.openxmlformats.org/spreadsheetml/2006/main" count="150" uniqueCount="109">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</sst>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3"/>
  <sheetViews>
    <sheetView workbookViewId="0">
      <selection activeCell="C9" sqref="C9"/>
    </sheetView>
  </sheetViews>
  <sheetFormatPr defaultColWidth="9.140625"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3" t="str">
        <f>A7</f>
        <v xml:space="preserve">Bug: when receiver turn off phone </v>
      </c>
      <c r="C2" s="23"/>
      <c r="D2" s="23"/>
      <c r="E2" s="23"/>
      <c r="F2" s="11" t="str">
        <f>CONCATENATE("At: ",B7)</f>
        <v>At: SendService/SentDialog</v>
      </c>
      <c r="G2" s="13"/>
    </row>
    <row r="3" spans="1:7">
      <c r="A3" s="7" t="s">
        <v>77</v>
      </c>
      <c r="B3" s="22">
        <f>COUNTIF(E7:E107,"0")</f>
        <v>0</v>
      </c>
      <c r="C3" s="22"/>
      <c r="D3" s="22"/>
      <c r="E3" s="22"/>
      <c r="F3" s="18"/>
      <c r="G3" s="15"/>
    </row>
    <row r="4" spans="1:7">
      <c r="A4" s="8" t="s">
        <v>39</v>
      </c>
      <c r="B4" s="21">
        <f>COUNTIF(E6:E106,"1")</f>
        <v>18</v>
      </c>
      <c r="C4" s="21"/>
      <c r="D4" s="21"/>
      <c r="E4" s="21"/>
      <c r="F4" s="14"/>
      <c r="G4" s="14"/>
    </row>
    <row r="5" spans="1:7">
      <c r="A5" s="17" t="s">
        <v>78</v>
      </c>
      <c r="B5" s="24">
        <f>COUNT(E7:E107)-(COUNTIF(E7:E107,"1")+COUNTIF(E7:E107,"0"))</f>
        <v>9</v>
      </c>
      <c r="C5" s="24"/>
      <c r="D5" s="24"/>
      <c r="E5" s="24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" t="s">
        <v>99</v>
      </c>
      <c r="C11" s="19" t="s">
        <v>67</v>
      </c>
      <c r="D11" s="19">
        <v>3</v>
      </c>
      <c r="E11" s="19">
        <v>0.5</v>
      </c>
    </row>
    <row r="12" spans="1:7">
      <c r="A12" s="20" t="s">
        <v>74</v>
      </c>
      <c r="B12" s="20"/>
      <c r="C12" s="20" t="s">
        <v>15</v>
      </c>
      <c r="D12" s="20">
        <v>4</v>
      </c>
      <c r="E12" s="20">
        <v>0.5</v>
      </c>
      <c r="F12" s="17" t="s">
        <v>64</v>
      </c>
    </row>
    <row r="13" spans="1:7">
      <c r="A13" s="20" t="s">
        <v>21</v>
      </c>
      <c r="B13" s="20" t="s">
        <v>22</v>
      </c>
      <c r="C13" s="20" t="s">
        <v>2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24</v>
      </c>
      <c r="B14" s="20" t="s">
        <v>22</v>
      </c>
      <c r="C14" s="20" t="s">
        <v>25</v>
      </c>
      <c r="D14" s="20">
        <v>4</v>
      </c>
      <c r="E14" s="20">
        <v>0.5</v>
      </c>
      <c r="F14" s="20" t="s">
        <v>64</v>
      </c>
    </row>
    <row r="15" spans="1:7" s="4" customFormat="1">
      <c r="A15" s="20" t="s">
        <v>73</v>
      </c>
      <c r="B15" s="20"/>
      <c r="C15" s="20" t="s">
        <v>67</v>
      </c>
      <c r="D15" s="20">
        <v>4</v>
      </c>
      <c r="E15" s="20">
        <v>0.5</v>
      </c>
      <c r="F15" s="20" t="s">
        <v>64</v>
      </c>
    </row>
    <row r="16" spans="1:7">
      <c r="A16" s="19" t="s">
        <v>72</v>
      </c>
      <c r="B16" s="19"/>
      <c r="C16" s="19"/>
      <c r="D16" s="19">
        <v>1</v>
      </c>
      <c r="E16" s="19">
        <v>1</v>
      </c>
      <c r="F16" s="19"/>
    </row>
    <row r="17" spans="1:6">
      <c r="A17" s="19" t="s">
        <v>56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55</v>
      </c>
      <c r="B18" s="19"/>
      <c r="C18" s="19" t="s">
        <v>8</v>
      </c>
      <c r="D18" s="19">
        <v>1</v>
      </c>
      <c r="E18" s="19">
        <v>1</v>
      </c>
      <c r="F18" s="19"/>
    </row>
    <row r="19" spans="1:6">
      <c r="A19" s="19" t="s">
        <v>47</v>
      </c>
      <c r="B19" s="19"/>
      <c r="C19" s="19" t="s">
        <v>2</v>
      </c>
      <c r="D19" s="19">
        <v>1</v>
      </c>
      <c r="E19" s="19">
        <v>1</v>
      </c>
      <c r="F19" s="19"/>
    </row>
    <row r="20" spans="1:6">
      <c r="A20" s="19" t="s">
        <v>43</v>
      </c>
      <c r="B20" s="19"/>
      <c r="C20" s="19" t="s">
        <v>8</v>
      </c>
      <c r="D20" s="19">
        <v>1</v>
      </c>
      <c r="E20" s="19">
        <v>1</v>
      </c>
      <c r="F20" s="19"/>
    </row>
    <row r="21" spans="1:6">
      <c r="A21" s="19" t="s">
        <v>31</v>
      </c>
      <c r="B21" s="19"/>
      <c r="C21" s="19" t="s">
        <v>32</v>
      </c>
      <c r="D21" s="19">
        <v>1</v>
      </c>
      <c r="E21" s="19">
        <v>1</v>
      </c>
      <c r="F21" s="19"/>
    </row>
    <row r="22" spans="1:6">
      <c r="A22" s="19" t="s">
        <v>57</v>
      </c>
      <c r="B22" s="19" t="s">
        <v>71</v>
      </c>
      <c r="C22" s="19" t="s">
        <v>15</v>
      </c>
      <c r="D22" s="19">
        <v>2</v>
      </c>
      <c r="E22" s="19">
        <v>1</v>
      </c>
      <c r="F22" s="19"/>
    </row>
    <row r="23" spans="1:6">
      <c r="A23" s="19" t="s">
        <v>58</v>
      </c>
      <c r="B23" s="19" t="s">
        <v>59</v>
      </c>
      <c r="C23" s="19" t="s">
        <v>51</v>
      </c>
      <c r="D23" s="19">
        <v>2</v>
      </c>
      <c r="E23" s="19">
        <v>1</v>
      </c>
      <c r="F23" s="19"/>
    </row>
    <row r="24" spans="1:6">
      <c r="A24" s="19" t="s">
        <v>38</v>
      </c>
      <c r="B24" s="19" t="s">
        <v>46</v>
      </c>
      <c r="C24" s="19" t="s">
        <v>15</v>
      </c>
      <c r="D24" s="19">
        <v>2</v>
      </c>
      <c r="E24" s="19">
        <v>1</v>
      </c>
      <c r="F24" s="19"/>
    </row>
    <row r="25" spans="1:6">
      <c r="A25" s="19" t="s">
        <v>36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4" t="s">
        <v>40</v>
      </c>
      <c r="B26" s="19" t="s">
        <v>37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29</v>
      </c>
      <c r="B27" s="19" t="s">
        <v>30</v>
      </c>
      <c r="C27" s="19" t="s">
        <v>15</v>
      </c>
      <c r="D27" s="19">
        <v>2</v>
      </c>
      <c r="E27" s="19">
        <v>1</v>
      </c>
      <c r="F27" s="19"/>
    </row>
    <row r="28" spans="1:6">
      <c r="A28" s="19" t="s">
        <v>6</v>
      </c>
      <c r="B28" s="19" t="s">
        <v>18</v>
      </c>
      <c r="C28" s="19" t="s">
        <v>8</v>
      </c>
      <c r="D28" s="19">
        <v>2</v>
      </c>
      <c r="E28" s="19">
        <v>1</v>
      </c>
      <c r="F28" s="19"/>
    </row>
    <row r="29" spans="1:6">
      <c r="A29" s="19" t="s">
        <v>68</v>
      </c>
      <c r="B29" s="19" t="s">
        <v>69</v>
      </c>
      <c r="C29" s="19" t="s">
        <v>15</v>
      </c>
      <c r="D29" s="19">
        <v>2.1</v>
      </c>
      <c r="E29" s="19">
        <v>1</v>
      </c>
      <c r="F29" s="19"/>
    </row>
    <row r="30" spans="1:6">
      <c r="A30" s="19" t="s">
        <v>7</v>
      </c>
      <c r="B30" s="19" t="s">
        <v>17</v>
      </c>
      <c r="C30" s="19" t="s">
        <v>15</v>
      </c>
      <c r="D30" s="19">
        <v>3</v>
      </c>
      <c r="E30" s="19">
        <v>1</v>
      </c>
      <c r="F30" s="19"/>
    </row>
    <row r="31" spans="1:6">
      <c r="A31" s="19" t="s">
        <v>0</v>
      </c>
      <c r="B31" s="19" t="s">
        <v>1</v>
      </c>
      <c r="C31" s="19" t="s">
        <v>2</v>
      </c>
      <c r="D31" s="19">
        <v>3</v>
      </c>
      <c r="E31" s="19">
        <v>1</v>
      </c>
      <c r="F31" s="19"/>
    </row>
    <row r="32" spans="1:6">
      <c r="A32" s="19" t="s">
        <v>14</v>
      </c>
      <c r="B32" s="19"/>
      <c r="C32" s="19" t="s">
        <v>15</v>
      </c>
      <c r="D32" s="19">
        <v>3</v>
      </c>
      <c r="E32" s="19">
        <v>1</v>
      </c>
      <c r="F32" s="19"/>
    </row>
    <row r="33" spans="1:6">
      <c r="A33" s="4" t="s">
        <v>23</v>
      </c>
      <c r="B33" s="4"/>
      <c r="C33" s="4" t="s">
        <v>8</v>
      </c>
      <c r="D33" s="4">
        <v>3</v>
      </c>
      <c r="E33" s="4">
        <v>1</v>
      </c>
      <c r="F33" s="19"/>
    </row>
  </sheetData>
  <sortState ref="A7:F3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tabSelected="1" workbookViewId="0">
      <selection activeCell="G15" sqref="G15"/>
    </sheetView>
  </sheetViews>
  <sheetFormatPr defaultRowHeight="1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6">
        <v>40970</v>
      </c>
    </row>
    <row r="11" spans="1:8">
      <c r="A11" t="s">
        <v>96</v>
      </c>
      <c r="B11" t="s">
        <v>97</v>
      </c>
      <c r="C11" t="s">
        <v>91</v>
      </c>
      <c r="D11">
        <v>0.5</v>
      </c>
      <c r="E11" t="s">
        <v>98</v>
      </c>
      <c r="F11">
        <v>0</v>
      </c>
      <c r="G11" s="26">
        <v>40970</v>
      </c>
    </row>
    <row r="12" spans="1:8">
      <c r="A12" t="s">
        <v>100</v>
      </c>
      <c r="B12" t="s">
        <v>103</v>
      </c>
      <c r="C12" t="s">
        <v>104</v>
      </c>
      <c r="D12">
        <v>0.5</v>
      </c>
      <c r="E12" t="s">
        <v>105</v>
      </c>
      <c r="F12">
        <v>0</v>
      </c>
      <c r="G12" s="26">
        <v>40969</v>
      </c>
    </row>
    <row r="13" spans="1:8">
      <c r="A13" t="s">
        <v>106</v>
      </c>
      <c r="B13" t="s">
        <v>107</v>
      </c>
      <c r="C13" t="s">
        <v>104</v>
      </c>
      <c r="D13">
        <v>0.5</v>
      </c>
      <c r="E13" t="s">
        <v>108</v>
      </c>
      <c r="F13">
        <v>0</v>
      </c>
      <c r="G13" s="26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2012-03-02T15:10:01Z</dcterms:modified>
</cp:coreProperties>
</file>