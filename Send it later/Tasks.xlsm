
<file path=[Content_Types].xml><?xml version="1.0" encoding="utf-8"?>
<Types xmlns="http://schemas.openxmlformats.org/package/2006/content-types">
  <Default Extension="bin" ContentType="application/vnd.openxmlformats-officedocument.spreadsheetml.printerSettings"/>
  <Override PartName="/xl/theme/theme1.xml" ContentType="application/vnd.openxmlformats-officedocument.theme+xml"/>
  <Override PartName="/xl/styles.xml" ContentType="application/vnd.openxmlformats-officedocument.spreadsheetml.styles+xml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1.xml" ContentType="application/vnd.openxmlformats-officedocument.spreadsheetml.worksheet+xml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5" codeName="{C7D7DFBA-A3E8-793F-BDBE-722D05640CCE}"/>
  <workbookPr codeName="ThisWorkbook" defaultThemeVersion="124226"/>
  <bookViews>
    <workbookView xWindow="0" yWindow="0" windowWidth="15195" windowHeight="8715"/>
  </bookViews>
  <sheets>
    <sheet name="Tasks" sheetId="1" r:id="rId1"/>
    <sheet name="Important rating" sheetId="2" r:id="rId2"/>
    <sheet name="Bug report" sheetId="5" r:id="rId3"/>
    <sheet name="Resolutions" sheetId="3" r:id="rId4"/>
    <sheet name="Check list before publish" sheetId="4" r:id="rId5"/>
  </sheets>
  <calcPr calcId="125725"/>
</workbook>
</file>

<file path=xl/calcChain.xml><?xml version="1.0" encoding="utf-8"?>
<calcChain xmlns="http://schemas.openxmlformats.org/spreadsheetml/2006/main">
  <c r="B5" i="1"/>
  <c r="B4"/>
  <c r="B3"/>
  <c r="F2"/>
  <c r="B2"/>
</calcChain>
</file>

<file path=xl/sharedStrings.xml><?xml version="1.0" encoding="utf-8"?>
<sst xmlns="http://schemas.openxmlformats.org/spreadsheetml/2006/main" count="220" uniqueCount="156">
  <si>
    <t>Refactor the adapters</t>
  </si>
  <si>
    <t>PendingAdapter / SentAdapter</t>
  </si>
  <si>
    <t>refactor</t>
  </si>
  <si>
    <t>Main features, must do</t>
  </si>
  <si>
    <t>Must have</t>
  </si>
  <si>
    <t>Very nice to have</t>
  </si>
  <si>
    <t>Fix bug: send at same time</t>
  </si>
  <si>
    <t>Add Edit button to frames</t>
  </si>
  <si>
    <t>bug</t>
  </si>
  <si>
    <t>Category</t>
  </si>
  <si>
    <t>Importance</t>
  </si>
  <si>
    <t>major</t>
  </si>
  <si>
    <t>Notes</t>
  </si>
  <si>
    <t>Done</t>
  </si>
  <si>
    <t>Add frame animation</t>
  </si>
  <si>
    <t>UI</t>
  </si>
  <si>
    <t>Imp.</t>
  </si>
  <si>
    <t>Main frames</t>
  </si>
  <si>
    <t>Database / EditMessage</t>
  </si>
  <si>
    <t>Where</t>
  </si>
  <si>
    <t>Task</t>
  </si>
  <si>
    <t>Only thread for db access</t>
  </si>
  <si>
    <t>Database</t>
  </si>
  <si>
    <t>Bug: Late 1 min</t>
  </si>
  <si>
    <t>Cache db</t>
  </si>
  <si>
    <t>improvement</t>
  </si>
  <si>
    <t>Refactor the SentItem &amp; PendingItem : to MessageItem</t>
  </si>
  <si>
    <t>Refactor SentAdapter &amp; PendingAdapter</t>
  </si>
  <si>
    <t>IMessageList Is a interface - better than Common Super class</t>
  </si>
  <si>
    <t>Wording: max_sent_item</t>
  </si>
  <si>
    <t>String</t>
  </si>
  <si>
    <t>Pusblish trick: rate notes / 5 messages til done</t>
  </si>
  <si>
    <t>marketting</t>
  </si>
  <si>
    <t>Pusblish trick: get rating</t>
  </si>
  <si>
    <t>Count number of successful sent messages : use preference</t>
  </si>
  <si>
    <t>When count % 5 == 0 &amp;&amp; ! notRated (use preference) 
-&gt; show the rating dialog !</t>
  </si>
  <si>
    <t>Bo onClick show Dialog</t>
  </si>
  <si>
    <t>PendingView</t>
  </si>
  <si>
    <t>Them onClick show Dialog (SentView)</t>
  </si>
  <si>
    <t>#Done tasks</t>
  </si>
  <si>
    <t>Icon: new sms - better resolution + background</t>
  </si>
  <si>
    <t>Focus on task</t>
  </si>
  <si>
    <t>http://stackoverflow.com/questions/2893350/how-to-launch-the-market-intent-in-give-feedback-mode-on-android</t>
  </si>
  <si>
    <t>Bug: Schedule a sms to weekly - send 5 times</t>
  </si>
  <si>
    <t>SentView: Resend/Edit/Remove</t>
  </si>
  <si>
    <t>Create general options dialog</t>
  </si>
  <si>
    <t>Create general dialog</t>
  </si>
  <si>
    <t>Input: String[] labels, OnClickListener[] listeners</t>
  </si>
  <si>
    <t>Output: the dialog itself</t>
  </si>
  <si>
    <t>Bug</t>
  </si>
  <si>
    <t>Todo: test 2 cases for resend now</t>
  </si>
  <si>
    <t>SendView</t>
  </si>
  <si>
    <t>test</t>
  </si>
  <si>
    <t>Bug: Long message - resend a lot of time !</t>
  </si>
  <si>
    <t>Bug: the view is not refresh&amp;toast after resend</t>
  </si>
  <si>
    <t>Fix layout of Rate Dialog (The text view)</t>
  </si>
  <si>
    <t xml:space="preserve">Bug: BG not changed -dialog item click </t>
  </si>
  <si>
    <t>Sendview</t>
  </si>
  <si>
    <t xml:space="preserve">Bug: when receiver turn off phone </t>
  </si>
  <si>
    <t>SendService/SentDialog</t>
  </si>
  <si>
    <t>Where : SendSMS Service / SentDialog</t>
  </si>
  <si>
    <t>Problem: app wait not long enough
But when the waiting time is too long, there are a lot of potential bugs</t>
  </si>
  <si>
    <t>Next version</t>
  </si>
  <si>
    <t>Feature: Resend</t>
  </si>
  <si>
    <t>Sendview item action</t>
  </si>
  <si>
    <t>feature</t>
  </si>
  <si>
    <t>Dịch sang tiếng Việt / test</t>
  </si>
  <si>
    <t>string.xml</t>
  </si>
  <si>
    <t>See file Resolutions.doc</t>
  </si>
  <si>
    <t>RateDialog</t>
  </si>
  <si>
    <t>Send email : anh HA</t>
  </si>
  <si>
    <t>Link to calendar : happy birthday</t>
  </si>
  <si>
    <t>Swipe trick &amp; tip</t>
  </si>
  <si>
    <t>Trick &amp; tips on swipe</t>
  </si>
  <si>
    <t>Use preference for trick and tip, show &lt;= 2 times</t>
  </si>
  <si>
    <t>#Todo tasks</t>
  </si>
  <si>
    <t>#Pending tasks</t>
  </si>
  <si>
    <t>Nice to have</t>
  </si>
  <si>
    <t>Debug_mode android</t>
  </si>
  <si>
    <t>Debug_mode helper</t>
  </si>
  <si>
    <t>SendSMSService.START_REMIND_RATING_COUNT</t>
  </si>
  <si>
    <t>Set start remind count</t>
  </si>
  <si>
    <t>Helpers.DEBUG_MODE</t>
  </si>
  <si>
    <t>Test</t>
  </si>
  <si>
    <t>Check list</t>
  </si>
  <si>
    <t>Manifest</t>
  </si>
  <si>
    <t>Ver1.0</t>
  </si>
  <si>
    <t>Crash on load contact data</t>
  </si>
  <si>
    <t>MyAdapter: line 335 (old) , L235</t>
  </si>
  <si>
    <t>crash</t>
  </si>
  <si>
    <t>Check dataIndex before while</t>
  </si>
  <si>
    <t>Type</t>
  </si>
  <si>
    <t>Resolution</t>
  </si>
  <si>
    <t>Publish</t>
  </si>
  <si>
    <t>Crash: empty name (backspace)</t>
  </si>
  <si>
    <t>EditMessage</t>
  </si>
  <si>
    <t>Unknown</t>
  </si>
  <si>
    <t>Flash sms</t>
  </si>
  <si>
    <t>Error: on first time running</t>
  </si>
  <si>
    <t>Chek-in</t>
  </si>
  <si>
    <t>Check-out</t>
  </si>
  <si>
    <t>MyAdaoter</t>
  </si>
  <si>
    <t>error</t>
  </si>
  <si>
    <t>Load first time running</t>
  </si>
  <si>
    <t>Error: cannot auto complete vn chars</t>
  </si>
  <si>
    <t>MyAdapter</t>
  </si>
  <si>
    <t>replace sign -&gt; unsign, lower case all !</t>
  </si>
  <si>
    <t>Bug: Khi gui nhieu tin nhan mot luc: wake lock dong lai sau khi gui tin dau tien !</t>
  </si>
  <si>
    <t>SendMessage Service</t>
  </si>
  <si>
    <t>Layout loi small: send cancel button che het</t>
  </si>
  <si>
    <t>Ko add duoc 8752</t>
  </si>
  <si>
    <t>Click &amp; scroll tren autocomplete list: hide soft keyboard</t>
  </si>
  <si>
    <t>Exit: just come to home screen</t>
  </si>
  <si>
    <t>Tolerance search: like("s")="weazxd" - test speed !</t>
  </si>
  <si>
    <t>Hori lv: click hien dialog</t>
  </si>
  <si>
    <t>Tu suggest contacts khi bat create message</t>
  </si>
  <si>
    <t>About: them my apps</t>
  </si>
  <si>
    <t>Gui nhom tren danh ba ?</t>
  </si>
  <si>
    <t>About</t>
  </si>
  <si>
    <t>FirstTime !</t>
  </si>
  <si>
    <t>Nhieu tin nhan mot luc: wake lock dong lai sau khi gui tin dau tien !</t>
  </si>
  <si>
    <t>Tam thoi: tang thoi gian xu ly conflict len &gt; thoi gian doi delivery</t>
  </si>
  <si>
    <t>Lau dai: dung IntentService - xep cong viec vao queue</t>
  </si>
  <si>
    <t xml:space="preserve">Add transition animation </t>
  </si>
  <si>
    <t>But no good on Samsung - because LASTTIME doesn't work !</t>
  </si>
  <si>
    <t>LAST_TIME_CONTACTED not updated on Samsung Y</t>
  </si>
  <si>
    <t>Device bug</t>
  </si>
  <si>
    <t>Write Content observer &amp; Broadcast receiver: in/out call/sms</t>
  </si>
  <si>
    <t>Button layout : too small</t>
  </si>
  <si>
    <t>Huy(dialog - so tin nhan), Dong (about), ScrollDialog: chon gio - nut qua nho !, Nut add tren EditMessage</t>
  </si>
  <si>
    <t>Update LAST_TIME_CONTACTED</t>
  </si>
  <si>
    <t>Bo sung vao Contacts CP</t>
  </si>
  <si>
    <t>Incoming call</t>
  </si>
  <si>
    <t>Outgoing call</t>
  </si>
  <si>
    <t>Receive SMS</t>
  </si>
  <si>
    <t>Sent SMS</t>
  </si>
  <si>
    <t>http://android-journey.blogspot.com/2010/01/android-braodcast-receivers.html</t>
  </si>
  <si>
    <t>Remove all spacebar before autocomplete search !</t>
  </si>
  <si>
    <t>Be careful with multiple broadcast for the same call/sms - luc co luc khong !</t>
  </si>
  <si>
    <t>http://www.krvarma.com/2010/08/detecting-incoming-and-outgoing-calls-in-android/</t>
  </si>
  <si>
    <t>More references</t>
  </si>
  <si>
    <t>Xem lai loadFromStorage</t>
  </si>
  <si>
    <t>EditMessage/AutoContactLoader</t>
  </si>
  <si>
    <t>Khi co contact_event:</t>
  </si>
  <si>
    <t>Get number (Don’t parse sent event)</t>
  </si>
  <si>
    <t>Query contacts id from phone_numbers</t>
  </si>
  <si>
    <t xml:space="preserve">Update the LAST_TIME_CONTACTED from Contacts.CONTENT_URI </t>
  </si>
  <si>
    <t>Field: Contacts.LAST_TIME_CONTACTED</t>
  </si>
  <si>
    <t>Chu y: xu ly truong hop event ko khop voi contact trong CP</t>
  </si>
  <si>
    <t>http://stackoverflow.com/questions/2174048/how-to-look-up-a-contacts-name-from-their-phone-number-on-android</t>
  </si>
  <si>
    <t>Share,Close,Same author,rating</t>
  </si>
  <si>
    <t>Learn: meter &amp; confirm assumption before optimize - Resolution: the app has 2 threads: filtering &amp; loading from DB - when both run together - it's slow - so: after loading contacts from sdcard-cache - lower the loading thread priority.</t>
  </si>
  <si>
    <t>Improve: phones without sdcard -&gt; save the cache to db, not file</t>
  </si>
  <si>
    <t>Bug: 2 message (t,t+1 minute) , later cannot be sent</t>
  </si>
  <si>
    <t>Bug: onSwipe sometimes not called (swipe on an item to delete)</t>
  </si>
  <si>
    <t>OnCancel is called ! - why ?</t>
  </si>
</sst>
</file>

<file path=xl/styles.xml><?xml version="1.0" encoding="utf-8"?>
<styleSheet xmlns="http://schemas.openxmlformats.org/spreadsheetml/2006/main">
  <fonts count="8">
    <font>
      <sz val="11"/>
      <color theme="1"/>
      <name val="Arial"/>
      <family val="2"/>
      <scheme val="minor"/>
    </font>
    <font>
      <b/>
      <sz val="11"/>
      <color theme="1"/>
      <name val="Arial"/>
      <family val="2"/>
      <scheme val="minor"/>
    </font>
    <font>
      <sz val="11"/>
      <name val="Arial"/>
      <family val="2"/>
      <scheme val="minor"/>
    </font>
    <font>
      <b/>
      <sz val="11"/>
      <name val="Arial"/>
      <family val="2"/>
      <scheme val="minor"/>
    </font>
    <font>
      <b/>
      <sz val="16"/>
      <color theme="1"/>
      <name val="Arial"/>
      <family val="2"/>
      <scheme val="minor"/>
    </font>
    <font>
      <sz val="16"/>
      <color theme="1"/>
      <name val="Arial"/>
      <family val="2"/>
      <scheme val="minor"/>
    </font>
    <font>
      <u/>
      <sz val="11"/>
      <color theme="10"/>
      <name val="Calibri"/>
      <family val="2"/>
    </font>
    <font>
      <b/>
      <sz val="11"/>
      <color theme="1"/>
      <name val="Arial"/>
      <family val="2"/>
      <charset val="163"/>
      <scheme val="minor"/>
    </font>
  </fonts>
  <fills count="5">
    <fill>
      <patternFill patternType="none"/>
    </fill>
    <fill>
      <patternFill patternType="gray125"/>
    </fill>
    <fill>
      <patternFill patternType="solid">
        <fgColor rgb="FF92D050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FFFF00"/>
        <bgColor indexed="64"/>
      </patternFill>
    </fill>
  </fills>
  <borders count="1">
    <border>
      <left/>
      <right/>
      <top/>
      <bottom/>
      <diagonal/>
    </border>
  </borders>
  <cellStyleXfs count="2">
    <xf numFmtId="0" fontId="0" fillId="0" borderId="0"/>
    <xf numFmtId="0" fontId="6" fillId="0" borderId="0" applyNumberFormat="0" applyFill="0" applyBorder="0" applyAlignment="0" applyProtection="0">
      <alignment vertical="top"/>
      <protection locked="0"/>
    </xf>
  </cellStyleXfs>
  <cellXfs count="32">
    <xf numFmtId="0" fontId="0" fillId="0" borderId="0" xfId="0"/>
    <xf numFmtId="0" fontId="1" fillId="0" borderId="0" xfId="0" applyFont="1"/>
    <xf numFmtId="0" fontId="0" fillId="0" borderId="0" xfId="0" applyFill="1"/>
    <xf numFmtId="0" fontId="1" fillId="0" borderId="0" xfId="0" applyFont="1" applyFill="1"/>
    <xf numFmtId="0" fontId="2" fillId="0" borderId="0" xfId="0" applyFont="1" applyFill="1"/>
    <xf numFmtId="0" fontId="0" fillId="0" borderId="0" xfId="0" applyAlignment="1">
      <alignment wrapText="1"/>
    </xf>
    <xf numFmtId="0" fontId="1" fillId="0" borderId="0" xfId="0" applyFont="1" applyFill="1" applyAlignment="1">
      <alignment horizontal="left"/>
    </xf>
    <xf numFmtId="0" fontId="1" fillId="3" borderId="0" xfId="0" applyFont="1" applyFill="1"/>
    <xf numFmtId="0" fontId="3" fillId="2" borderId="0" xfId="0" applyFont="1" applyFill="1" applyAlignment="1">
      <alignment horizontal="left"/>
    </xf>
    <xf numFmtId="0" fontId="4" fillId="3" borderId="0" xfId="0" applyFont="1" applyFill="1"/>
    <xf numFmtId="0" fontId="5" fillId="0" borderId="0" xfId="0" applyFont="1" applyFill="1"/>
    <xf numFmtId="0" fontId="5" fillId="3" borderId="0" xfId="0" applyFont="1" applyFill="1" applyAlignment="1"/>
    <xf numFmtId="0" fontId="6" fillId="0" borderId="0" xfId="1" applyAlignment="1" applyProtection="1"/>
    <xf numFmtId="0" fontId="5" fillId="0" borderId="0" xfId="0" applyFont="1" applyFill="1" applyAlignment="1"/>
    <xf numFmtId="0" fontId="2" fillId="0" borderId="0" xfId="0" applyFont="1" applyFill="1" applyAlignment="1"/>
    <xf numFmtId="0" fontId="0" fillId="0" borderId="0" xfId="0" applyFill="1" applyAlignment="1"/>
    <xf numFmtId="0" fontId="2" fillId="4" borderId="0" xfId="0" applyFont="1" applyFill="1"/>
    <xf numFmtId="0" fontId="0" fillId="4" borderId="0" xfId="0" applyFill="1"/>
    <xf numFmtId="0" fontId="0" fillId="0" borderId="0" xfId="0" applyFont="1" applyFill="1" applyAlignment="1"/>
    <xf numFmtId="0" fontId="0" fillId="0" borderId="0" xfId="0" applyFont="1" applyFill="1"/>
    <xf numFmtId="0" fontId="0" fillId="4" borderId="0" xfId="0" applyFont="1" applyFill="1"/>
    <xf numFmtId="14" fontId="0" fillId="0" borderId="0" xfId="0" applyNumberFormat="1"/>
    <xf numFmtId="0" fontId="0" fillId="2" borderId="0" xfId="0" applyFont="1" applyFill="1"/>
    <xf numFmtId="0" fontId="2" fillId="2" borderId="0" xfId="0" applyFont="1" applyFill="1"/>
    <xf numFmtId="0" fontId="0" fillId="2" borderId="0" xfId="0" applyFill="1"/>
    <xf numFmtId="0" fontId="7" fillId="0" borderId="0" xfId="0" applyFont="1" applyFill="1"/>
    <xf numFmtId="0" fontId="7" fillId="0" borderId="0" xfId="0" applyFont="1"/>
    <xf numFmtId="0" fontId="0" fillId="2" borderId="0" xfId="0" applyFont="1" applyFill="1" applyAlignment="1">
      <alignment horizontal="center"/>
    </xf>
    <xf numFmtId="0" fontId="0" fillId="3" borderId="0" xfId="0" applyFont="1" applyFill="1" applyAlignment="1">
      <alignment horizontal="center"/>
    </xf>
    <xf numFmtId="0" fontId="5" fillId="3" borderId="0" xfId="0" applyFont="1" applyFill="1" applyAlignment="1">
      <alignment horizontal="center"/>
    </xf>
    <xf numFmtId="0" fontId="0" fillId="4" borderId="0" xfId="0" applyFont="1" applyFill="1" applyAlignment="1">
      <alignment horizontal="center"/>
    </xf>
    <xf numFmtId="0" fontId="1" fillId="0" borderId="0" xfId="0" applyFont="1" applyFill="1" applyAlignment="1">
      <alignment horizontal="center"/>
    </xf>
  </cellXfs>
  <cellStyles count="2">
    <cellStyle name="Hyperlink" xfId="1" builtinId="8"/>
    <cellStyle name="Normal" xfId="0" builtinId="0"/>
  </cellStyles>
  <dxfs count="1">
    <dxf>
      <font>
        <condense val="0"/>
        <extend val="0"/>
        <color rgb="FF9C0006"/>
      </font>
      <fill>
        <patternFill>
          <bgColor rgb="FFFFC7CE"/>
        </patternFill>
      </fill>
    </dxf>
  </dxfs>
  <tableStyles count="0" defaultTableStyle="TableStyleMedium9" defaultPivotStyle="PivotStyleLight16"/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hyperlink" Target="http://www.krvarma.com/2010/08/detecting-incoming-and-outgoing-calls-in-android/" TargetMode="External"/><Relationship Id="rId7" Type="http://schemas.openxmlformats.org/officeDocument/2006/relationships/printerSettings" Target="../printerSettings/printerSettings4.bin"/><Relationship Id="rId2" Type="http://schemas.openxmlformats.org/officeDocument/2006/relationships/hyperlink" Target="http://www.krvarma.com/2010/08/detecting-incoming-and-outgoing-calls-in-android/" TargetMode="External"/><Relationship Id="rId1" Type="http://schemas.openxmlformats.org/officeDocument/2006/relationships/hyperlink" Target="http://stackoverflow.com/questions/2893350/how-to-launch-the-market-intent-in-give-feedback-mode-on-android" TargetMode="External"/><Relationship Id="rId6" Type="http://schemas.openxmlformats.org/officeDocument/2006/relationships/hyperlink" Target="http://stackoverflow.com/questions/2174048/how-to-look-up-a-contacts-name-from-their-phone-number-on-android" TargetMode="External"/><Relationship Id="rId5" Type="http://schemas.openxmlformats.org/officeDocument/2006/relationships/hyperlink" Target="http://android-journey.blogspot.com/2010/01/android-braodcast-receivers.html" TargetMode="External"/><Relationship Id="rId4" Type="http://schemas.openxmlformats.org/officeDocument/2006/relationships/hyperlink" Target="http://www.krvarma.com/2010/08/detecting-incoming-and-outgoing-calls-in-android/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Sheet1"/>
  <dimension ref="A2:G50"/>
  <sheetViews>
    <sheetView tabSelected="1" workbookViewId="0">
      <selection activeCell="E35" sqref="E35"/>
    </sheetView>
  </sheetViews>
  <sheetFormatPr defaultColWidth="9.125" defaultRowHeight="14.25"/>
  <cols>
    <col min="1" max="1" width="54" style="2" customWidth="1"/>
    <col min="2" max="2" width="30.125" style="2" customWidth="1"/>
    <col min="3" max="3" width="13.25" style="2" bestFit="1" customWidth="1"/>
    <col min="4" max="5" width="9.125" style="2"/>
    <col min="6" max="6" width="39.375" style="2" bestFit="1" customWidth="1"/>
    <col min="7" max="16384" width="9.125" style="2"/>
  </cols>
  <sheetData>
    <row r="2" spans="1:7" s="10" customFormat="1" ht="28.5" customHeight="1">
      <c r="A2" s="9" t="s">
        <v>41</v>
      </c>
      <c r="B2" s="29" t="str">
        <f>A7</f>
        <v>Tu suggest contacts khi bat create message</v>
      </c>
      <c r="C2" s="29"/>
      <c r="D2" s="29"/>
      <c r="E2" s="29"/>
      <c r="F2" s="11" t="str">
        <f>CONCATENATE("At: ",F7)</f>
        <v xml:space="preserve">At: </v>
      </c>
      <c r="G2" s="13"/>
    </row>
    <row r="3" spans="1:7" ht="15">
      <c r="A3" s="7" t="s">
        <v>75</v>
      </c>
      <c r="B3" s="28">
        <f>COUNTIF(E7:E107,"0")</f>
        <v>5</v>
      </c>
      <c r="C3" s="28"/>
      <c r="D3" s="28"/>
      <c r="E3" s="28"/>
      <c r="F3" s="18"/>
      <c r="G3" s="15"/>
    </row>
    <row r="4" spans="1:7" ht="15">
      <c r="A4" s="8" t="s">
        <v>39</v>
      </c>
      <c r="B4" s="27">
        <f>COUNTIF(E6:E106,"1")</f>
        <v>32</v>
      </c>
      <c r="C4" s="27"/>
      <c r="D4" s="27"/>
      <c r="E4" s="27"/>
      <c r="F4" s="14"/>
      <c r="G4" s="14"/>
    </row>
    <row r="5" spans="1:7">
      <c r="A5" s="17" t="s">
        <v>76</v>
      </c>
      <c r="B5" s="30">
        <f>COUNT(E7:E107)-(COUNTIF(E7:E107,"1")+COUNTIF(E7:E107,"0"))</f>
        <v>7</v>
      </c>
      <c r="C5" s="30"/>
      <c r="D5" s="30"/>
      <c r="E5" s="30"/>
    </row>
    <row r="6" spans="1:7" s="3" customFormat="1" ht="15">
      <c r="A6" s="3" t="s">
        <v>20</v>
      </c>
      <c r="B6" s="3" t="s">
        <v>19</v>
      </c>
      <c r="C6" s="3" t="s">
        <v>9</v>
      </c>
      <c r="D6" s="6" t="s">
        <v>16</v>
      </c>
      <c r="E6" s="3" t="s">
        <v>13</v>
      </c>
    </row>
    <row r="7" spans="1:7">
      <c r="A7" s="2" t="s">
        <v>115</v>
      </c>
      <c r="B7" s="19" t="s">
        <v>95</v>
      </c>
      <c r="C7" s="19" t="s">
        <v>15</v>
      </c>
      <c r="D7" s="19">
        <v>4</v>
      </c>
      <c r="E7" s="19">
        <v>0</v>
      </c>
    </row>
    <row r="8" spans="1:7">
      <c r="A8" s="2" t="s">
        <v>117</v>
      </c>
      <c r="B8" s="19" t="s">
        <v>95</v>
      </c>
      <c r="C8" s="19" t="s">
        <v>15</v>
      </c>
      <c r="D8" s="19">
        <v>4</v>
      </c>
      <c r="E8" s="19">
        <v>0</v>
      </c>
    </row>
    <row r="9" spans="1:7">
      <c r="A9" s="19" t="s">
        <v>72</v>
      </c>
      <c r="B9" s="2" t="s">
        <v>119</v>
      </c>
      <c r="C9" s="19" t="s">
        <v>15</v>
      </c>
      <c r="D9" s="19">
        <v>4</v>
      </c>
      <c r="E9" s="19">
        <v>0</v>
      </c>
    </row>
    <row r="10" spans="1:7">
      <c r="A10" s="19" t="s">
        <v>24</v>
      </c>
      <c r="B10" s="19" t="s">
        <v>22</v>
      </c>
      <c r="C10" s="19" t="s">
        <v>25</v>
      </c>
      <c r="D10" s="19">
        <v>4</v>
      </c>
      <c r="E10" s="19">
        <v>0</v>
      </c>
      <c r="F10" s="19"/>
    </row>
    <row r="11" spans="1:7">
      <c r="A11" s="2" t="s">
        <v>152</v>
      </c>
      <c r="B11" s="19"/>
      <c r="C11" s="19" t="s">
        <v>25</v>
      </c>
      <c r="D11" s="19">
        <v>4</v>
      </c>
      <c r="E11" s="19">
        <v>0</v>
      </c>
      <c r="F11" s="19"/>
    </row>
    <row r="12" spans="1:7">
      <c r="A12" s="20" t="s">
        <v>107</v>
      </c>
      <c r="B12" s="20" t="s">
        <v>108</v>
      </c>
      <c r="C12" s="20" t="s">
        <v>8</v>
      </c>
      <c r="D12" s="20">
        <v>1</v>
      </c>
      <c r="E12" s="17">
        <v>0.5</v>
      </c>
      <c r="F12" s="17"/>
    </row>
    <row r="13" spans="1:7">
      <c r="A13" s="20" t="s">
        <v>58</v>
      </c>
      <c r="B13" s="20" t="s">
        <v>59</v>
      </c>
      <c r="C13" s="20" t="s">
        <v>8</v>
      </c>
      <c r="D13" s="20">
        <v>1</v>
      </c>
      <c r="E13" s="20">
        <v>0.5</v>
      </c>
      <c r="F13" s="16" t="s">
        <v>62</v>
      </c>
    </row>
    <row r="14" spans="1:7" ht="18" customHeight="1">
      <c r="A14" s="20" t="s">
        <v>63</v>
      </c>
      <c r="B14" s="20" t="s">
        <v>64</v>
      </c>
      <c r="C14" s="20" t="s">
        <v>65</v>
      </c>
      <c r="D14" s="20">
        <v>2</v>
      </c>
      <c r="E14" s="20">
        <v>0.5</v>
      </c>
      <c r="F14" s="20" t="s">
        <v>62</v>
      </c>
    </row>
    <row r="15" spans="1:7" s="4" customFormat="1">
      <c r="A15" s="20" t="s">
        <v>50</v>
      </c>
      <c r="B15" s="20" t="s">
        <v>51</v>
      </c>
      <c r="C15" s="20" t="s">
        <v>52</v>
      </c>
      <c r="D15" s="20">
        <v>2</v>
      </c>
      <c r="E15" s="20">
        <v>0.5</v>
      </c>
      <c r="F15" s="20" t="s">
        <v>62</v>
      </c>
    </row>
    <row r="16" spans="1:7" s="17" customFormat="1">
      <c r="A16" s="17" t="s">
        <v>97</v>
      </c>
      <c r="C16" s="20" t="s">
        <v>65</v>
      </c>
      <c r="D16" s="20">
        <v>3</v>
      </c>
      <c r="E16" s="20">
        <v>0.5</v>
      </c>
    </row>
    <row r="17" spans="1:6">
      <c r="A17" s="20" t="s">
        <v>21</v>
      </c>
      <c r="B17" s="20" t="s">
        <v>22</v>
      </c>
      <c r="C17" s="20" t="s">
        <v>2</v>
      </c>
      <c r="D17" s="20">
        <v>4</v>
      </c>
      <c r="E17" s="20">
        <v>0.5</v>
      </c>
      <c r="F17" s="20" t="s">
        <v>62</v>
      </c>
    </row>
    <row r="18" spans="1:6" s="17" customFormat="1">
      <c r="A18" s="20" t="s">
        <v>71</v>
      </c>
      <c r="B18" s="20"/>
      <c r="C18" s="20" t="s">
        <v>65</v>
      </c>
      <c r="D18" s="20">
        <v>4</v>
      </c>
      <c r="E18" s="20">
        <v>0.5</v>
      </c>
      <c r="F18" s="20" t="s">
        <v>62</v>
      </c>
    </row>
    <row r="19" spans="1:6" s="24" customFormat="1">
      <c r="A19" s="24" t="s">
        <v>153</v>
      </c>
      <c r="C19" s="22" t="s">
        <v>8</v>
      </c>
      <c r="D19" s="22">
        <v>1</v>
      </c>
      <c r="E19" s="22">
        <v>1</v>
      </c>
    </row>
    <row r="20" spans="1:6" s="17" customFormat="1">
      <c r="A20" s="22" t="s">
        <v>128</v>
      </c>
      <c r="B20" s="24"/>
      <c r="C20" s="22" t="s">
        <v>15</v>
      </c>
      <c r="D20" s="22">
        <v>1</v>
      </c>
      <c r="E20" s="22">
        <v>1</v>
      </c>
      <c r="F20" s="24" t="s">
        <v>129</v>
      </c>
    </row>
    <row r="21" spans="1:6" s="24" customFormat="1">
      <c r="A21" s="22" t="s">
        <v>109</v>
      </c>
      <c r="B21" s="22" t="s">
        <v>95</v>
      </c>
      <c r="C21" s="22" t="s">
        <v>15</v>
      </c>
      <c r="D21" s="22">
        <v>1</v>
      </c>
      <c r="E21" s="22">
        <v>1</v>
      </c>
    </row>
    <row r="22" spans="1:6" s="24" customFormat="1">
      <c r="A22" s="22" t="s">
        <v>110</v>
      </c>
      <c r="B22" s="22" t="s">
        <v>95</v>
      </c>
      <c r="C22" s="22" t="s">
        <v>8</v>
      </c>
      <c r="D22" s="22">
        <v>1</v>
      </c>
      <c r="E22" s="22">
        <v>1</v>
      </c>
    </row>
    <row r="23" spans="1:6" s="24" customFormat="1">
      <c r="A23" s="22" t="s">
        <v>70</v>
      </c>
      <c r="B23" s="22"/>
      <c r="C23" s="22"/>
      <c r="D23" s="22">
        <v>1</v>
      </c>
      <c r="E23" s="22">
        <v>1</v>
      </c>
      <c r="F23" s="22"/>
    </row>
    <row r="24" spans="1:6" s="24" customFormat="1">
      <c r="A24" s="22" t="s">
        <v>54</v>
      </c>
      <c r="B24" s="22"/>
      <c r="C24" s="22" t="s">
        <v>8</v>
      </c>
      <c r="D24" s="22">
        <v>1</v>
      </c>
      <c r="E24" s="22">
        <v>1</v>
      </c>
      <c r="F24" s="22"/>
    </row>
    <row r="25" spans="1:6" s="24" customFormat="1">
      <c r="A25" s="22" t="s">
        <v>53</v>
      </c>
      <c r="B25" s="22"/>
      <c r="C25" s="22" t="s">
        <v>8</v>
      </c>
      <c r="D25" s="22">
        <v>1</v>
      </c>
      <c r="E25" s="22">
        <v>1</v>
      </c>
      <c r="F25" s="22"/>
    </row>
    <row r="26" spans="1:6" s="24" customFormat="1">
      <c r="A26" s="22" t="s">
        <v>45</v>
      </c>
      <c r="B26" s="22"/>
      <c r="C26" s="22" t="s">
        <v>2</v>
      </c>
      <c r="D26" s="22">
        <v>1</v>
      </c>
      <c r="E26" s="22">
        <v>1</v>
      </c>
      <c r="F26" s="22"/>
    </row>
    <row r="27" spans="1:6" s="24" customFormat="1">
      <c r="A27" s="22" t="s">
        <v>43</v>
      </c>
      <c r="B27" s="22"/>
      <c r="C27" s="22" t="s">
        <v>8</v>
      </c>
      <c r="D27" s="22">
        <v>1</v>
      </c>
      <c r="E27" s="22">
        <v>1</v>
      </c>
      <c r="F27" s="22"/>
    </row>
    <row r="28" spans="1:6" s="24" customFormat="1">
      <c r="A28" s="22" t="s">
        <v>31</v>
      </c>
      <c r="B28" s="22"/>
      <c r="C28" s="22" t="s">
        <v>32</v>
      </c>
      <c r="D28" s="22">
        <v>1</v>
      </c>
      <c r="E28" s="22">
        <v>1</v>
      </c>
      <c r="F28" s="22"/>
    </row>
    <row r="29" spans="1:6" s="24" customFormat="1">
      <c r="A29" s="22" t="s">
        <v>125</v>
      </c>
      <c r="C29" s="22" t="s">
        <v>126</v>
      </c>
      <c r="D29" s="22">
        <v>2</v>
      </c>
      <c r="E29" s="22">
        <v>1</v>
      </c>
      <c r="F29" s="24" t="s">
        <v>127</v>
      </c>
    </row>
    <row r="30" spans="1:6" s="24" customFormat="1">
      <c r="A30" s="22" t="s">
        <v>112</v>
      </c>
      <c r="B30" s="22" t="s">
        <v>17</v>
      </c>
      <c r="C30" s="22" t="s">
        <v>8</v>
      </c>
      <c r="D30" s="22">
        <v>2</v>
      </c>
      <c r="E30" s="22">
        <v>1</v>
      </c>
    </row>
    <row r="31" spans="1:6" s="24" customFormat="1">
      <c r="A31" s="22" t="s">
        <v>55</v>
      </c>
      <c r="B31" s="22" t="s">
        <v>69</v>
      </c>
      <c r="C31" s="22" t="s">
        <v>15</v>
      </c>
      <c r="D31" s="22">
        <v>2</v>
      </c>
      <c r="E31" s="22">
        <v>1</v>
      </c>
      <c r="F31" s="22"/>
    </row>
    <row r="32" spans="1:6" s="24" customFormat="1">
      <c r="A32" s="22" t="s">
        <v>56</v>
      </c>
      <c r="B32" s="22" t="s">
        <v>57</v>
      </c>
      <c r="C32" s="22" t="s">
        <v>49</v>
      </c>
      <c r="D32" s="22">
        <v>2</v>
      </c>
      <c r="E32" s="22">
        <v>1</v>
      </c>
      <c r="F32" s="22"/>
    </row>
    <row r="33" spans="1:6" s="24" customFormat="1">
      <c r="A33" s="22" t="s">
        <v>38</v>
      </c>
      <c r="B33" s="22" t="s">
        <v>44</v>
      </c>
      <c r="C33" s="22" t="s">
        <v>15</v>
      </c>
      <c r="D33" s="22">
        <v>2</v>
      </c>
      <c r="E33" s="22">
        <v>1</v>
      </c>
      <c r="F33" s="22"/>
    </row>
    <row r="34" spans="1:6" s="24" customFormat="1">
      <c r="A34" s="22" t="s">
        <v>36</v>
      </c>
      <c r="B34" s="22" t="s">
        <v>37</v>
      </c>
      <c r="C34" s="22" t="s">
        <v>15</v>
      </c>
      <c r="D34" s="22">
        <v>2</v>
      </c>
      <c r="E34" s="22">
        <v>1</v>
      </c>
      <c r="F34" s="22"/>
    </row>
    <row r="35" spans="1:6" s="24" customFormat="1">
      <c r="A35" s="23" t="s">
        <v>40</v>
      </c>
      <c r="B35" s="22" t="s">
        <v>37</v>
      </c>
      <c r="C35" s="22" t="s">
        <v>15</v>
      </c>
      <c r="D35" s="22">
        <v>2</v>
      </c>
      <c r="E35" s="22">
        <v>1</v>
      </c>
      <c r="F35" s="22"/>
    </row>
    <row r="36" spans="1:6" s="24" customFormat="1">
      <c r="A36" s="22" t="s">
        <v>29</v>
      </c>
      <c r="B36" s="22" t="s">
        <v>30</v>
      </c>
      <c r="C36" s="22" t="s">
        <v>15</v>
      </c>
      <c r="D36" s="22">
        <v>2</v>
      </c>
      <c r="E36" s="22">
        <v>1</v>
      </c>
      <c r="F36" s="22"/>
    </row>
    <row r="37" spans="1:6" s="24" customFormat="1">
      <c r="A37" s="22" t="s">
        <v>6</v>
      </c>
      <c r="B37" s="22" t="s">
        <v>18</v>
      </c>
      <c r="C37" s="22" t="s">
        <v>8</v>
      </c>
      <c r="D37" s="22">
        <v>2</v>
      </c>
      <c r="E37" s="22">
        <v>1</v>
      </c>
      <c r="F37" s="22"/>
    </row>
    <row r="38" spans="1:6" s="24" customFormat="1">
      <c r="A38" s="24" t="s">
        <v>154</v>
      </c>
      <c r="C38" s="24" t="s">
        <v>8</v>
      </c>
      <c r="D38" s="22">
        <v>2</v>
      </c>
      <c r="E38" s="24">
        <v>1</v>
      </c>
      <c r="F38" s="24" t="s">
        <v>155</v>
      </c>
    </row>
    <row r="39" spans="1:6" s="24" customFormat="1">
      <c r="A39" s="22" t="s">
        <v>66</v>
      </c>
      <c r="B39" s="22" t="s">
        <v>67</v>
      </c>
      <c r="C39" s="22" t="s">
        <v>15</v>
      </c>
      <c r="D39" s="22">
        <v>2.1</v>
      </c>
      <c r="E39" s="22">
        <v>1</v>
      </c>
      <c r="F39" s="22"/>
    </row>
    <row r="40" spans="1:6" s="24" customFormat="1">
      <c r="A40" s="24" t="s">
        <v>116</v>
      </c>
      <c r="B40" s="22" t="s">
        <v>118</v>
      </c>
      <c r="C40" s="22" t="s">
        <v>15</v>
      </c>
      <c r="D40" s="22">
        <v>2.4</v>
      </c>
      <c r="E40" s="22">
        <v>1</v>
      </c>
      <c r="F40" s="22" t="s">
        <v>150</v>
      </c>
    </row>
    <row r="41" spans="1:6" s="24" customFormat="1">
      <c r="A41" s="22" t="s">
        <v>141</v>
      </c>
      <c r="B41" s="22" t="s">
        <v>142</v>
      </c>
      <c r="C41" s="22" t="s">
        <v>25</v>
      </c>
      <c r="D41" s="22">
        <v>3</v>
      </c>
      <c r="E41" s="22">
        <v>1</v>
      </c>
      <c r="F41" s="24" t="s">
        <v>151</v>
      </c>
    </row>
    <row r="42" spans="1:6" s="24" customFormat="1">
      <c r="A42" s="24" t="s">
        <v>114</v>
      </c>
      <c r="B42" s="22" t="s">
        <v>95</v>
      </c>
      <c r="C42" s="22" t="s">
        <v>15</v>
      </c>
      <c r="D42" s="22">
        <v>3</v>
      </c>
      <c r="E42" s="22">
        <v>1</v>
      </c>
    </row>
    <row r="43" spans="1:6" s="24" customFormat="1">
      <c r="A43" s="22" t="s">
        <v>137</v>
      </c>
      <c r="C43" s="22" t="s">
        <v>25</v>
      </c>
      <c r="D43" s="22">
        <v>3</v>
      </c>
      <c r="E43" s="22">
        <v>1</v>
      </c>
    </row>
    <row r="44" spans="1:6">
      <c r="A44" s="22" t="s">
        <v>111</v>
      </c>
      <c r="B44" s="22" t="s">
        <v>95</v>
      </c>
      <c r="C44" s="22" t="s">
        <v>15</v>
      </c>
      <c r="D44" s="22">
        <v>3</v>
      </c>
      <c r="E44" s="22">
        <v>1</v>
      </c>
      <c r="F44" s="24"/>
    </row>
    <row r="45" spans="1:6">
      <c r="A45" s="22" t="s">
        <v>123</v>
      </c>
      <c r="B45" s="24"/>
      <c r="C45" s="22" t="s">
        <v>15</v>
      </c>
      <c r="D45" s="22">
        <v>3</v>
      </c>
      <c r="E45" s="22">
        <v>1</v>
      </c>
      <c r="F45" s="24"/>
    </row>
    <row r="46" spans="1:6">
      <c r="A46" s="24" t="s">
        <v>113</v>
      </c>
      <c r="B46" s="22" t="s">
        <v>95</v>
      </c>
      <c r="C46" s="22" t="s">
        <v>15</v>
      </c>
      <c r="D46" s="22">
        <v>3</v>
      </c>
      <c r="E46" s="22">
        <v>1</v>
      </c>
      <c r="F46" s="22" t="s">
        <v>124</v>
      </c>
    </row>
    <row r="47" spans="1:6">
      <c r="A47" s="22" t="s">
        <v>7</v>
      </c>
      <c r="B47" s="22" t="s">
        <v>17</v>
      </c>
      <c r="C47" s="22" t="s">
        <v>15</v>
      </c>
      <c r="D47" s="22">
        <v>3</v>
      </c>
      <c r="E47" s="22">
        <v>1</v>
      </c>
      <c r="F47" s="19"/>
    </row>
    <row r="48" spans="1:6">
      <c r="A48" s="22" t="s">
        <v>0</v>
      </c>
      <c r="B48" s="22" t="s">
        <v>1</v>
      </c>
      <c r="C48" s="22" t="s">
        <v>2</v>
      </c>
      <c r="D48" s="22">
        <v>3</v>
      </c>
      <c r="E48" s="22">
        <v>1</v>
      </c>
      <c r="F48" s="19"/>
    </row>
    <row r="49" spans="1:6">
      <c r="A49" s="22" t="s">
        <v>14</v>
      </c>
      <c r="B49" s="22"/>
      <c r="C49" s="22" t="s">
        <v>15</v>
      </c>
      <c r="D49" s="22">
        <v>3</v>
      </c>
      <c r="E49" s="22">
        <v>1</v>
      </c>
      <c r="F49" s="19"/>
    </row>
    <row r="50" spans="1:6">
      <c r="A50" s="23" t="s">
        <v>23</v>
      </c>
      <c r="B50" s="23"/>
      <c r="C50" s="23" t="s">
        <v>8</v>
      </c>
      <c r="D50" s="23">
        <v>3</v>
      </c>
      <c r="E50" s="23">
        <v>1</v>
      </c>
      <c r="F50" s="19"/>
    </row>
  </sheetData>
  <sortState ref="A7:F50">
    <sortCondition ref="E7:E100"/>
    <sortCondition ref="D7:D100"/>
  </sortState>
  <mergeCells count="4">
    <mergeCell ref="B4:E4"/>
    <mergeCell ref="B3:E3"/>
    <mergeCell ref="B2:E2"/>
    <mergeCell ref="B5:E5"/>
  </mergeCells>
  <conditionalFormatting sqref="E6">
    <cfRule type="cellIs" dxfId="0" priority="1" operator="equal">
      <formula>1</formula>
    </cfRule>
  </conditionalFormatting>
  <pageMargins left="0.7" right="0.7" top="0.75" bottom="0.75" header="0.3" footer="0.3"/>
  <pageSetup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>
  <sheetPr codeName="Sheet2"/>
  <dimension ref="A4:E16"/>
  <sheetViews>
    <sheetView topLeftCell="A4" workbookViewId="0">
      <selection activeCell="B8" sqref="B8"/>
    </sheetView>
  </sheetViews>
  <sheetFormatPr defaultColWidth="9.125" defaultRowHeight="14.25"/>
  <cols>
    <col min="1" max="1" width="9.125" style="2"/>
    <col min="2" max="2" width="22.875" style="2" bestFit="1" customWidth="1"/>
    <col min="3" max="3" width="11.125" style="2" bestFit="1" customWidth="1"/>
    <col min="4" max="16384" width="9.125" style="2"/>
  </cols>
  <sheetData>
    <row r="4" spans="1:5" ht="15">
      <c r="A4" s="31" t="s">
        <v>10</v>
      </c>
      <c r="B4" s="31"/>
      <c r="C4" s="31"/>
    </row>
    <row r="5" spans="1:5">
      <c r="A5" s="2">
        <v>1</v>
      </c>
      <c r="B5" s="2" t="s">
        <v>3</v>
      </c>
    </row>
    <row r="6" spans="1:5">
      <c r="A6" s="2">
        <v>2</v>
      </c>
      <c r="B6" s="2" t="s">
        <v>4</v>
      </c>
    </row>
    <row r="7" spans="1:5">
      <c r="A7" s="2">
        <v>3</v>
      </c>
      <c r="B7" s="2" t="s">
        <v>77</v>
      </c>
      <c r="E7" s="2">
        <v>1</v>
      </c>
    </row>
    <row r="8" spans="1:5">
      <c r="A8" s="2">
        <v>4</v>
      </c>
      <c r="B8" s="2" t="s">
        <v>5</v>
      </c>
    </row>
    <row r="12" spans="1:5" ht="15">
      <c r="B12" s="3" t="s">
        <v>9</v>
      </c>
      <c r="C12" s="3" t="s">
        <v>10</v>
      </c>
      <c r="D12" s="3" t="s">
        <v>12</v>
      </c>
    </row>
    <row r="13" spans="1:5">
      <c r="B13" s="2" t="s">
        <v>2</v>
      </c>
      <c r="C13" s="2">
        <v>3</v>
      </c>
    </row>
    <row r="14" spans="1:5">
      <c r="B14" s="2" t="s">
        <v>8</v>
      </c>
      <c r="C14" s="2">
        <v>2</v>
      </c>
    </row>
    <row r="15" spans="1:5">
      <c r="B15" s="2" t="s">
        <v>8</v>
      </c>
      <c r="C15" s="2">
        <v>1</v>
      </c>
      <c r="D15" s="2" t="s">
        <v>11</v>
      </c>
    </row>
    <row r="16" spans="1:5">
      <c r="B16" s="2" t="s">
        <v>25</v>
      </c>
      <c r="C16" s="2">
        <v>3</v>
      </c>
    </row>
  </sheetData>
  <mergeCells count="1">
    <mergeCell ref="A4:C4"/>
  </mergeCells>
  <pageMargins left="0.7" right="0.7" top="0.75" bottom="0.75" header="0.3" footer="0.3"/>
  <pageSetup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>
  <dimension ref="A9:H13"/>
  <sheetViews>
    <sheetView workbookViewId="0">
      <selection activeCell="A14" sqref="A14"/>
    </sheetView>
  </sheetViews>
  <sheetFormatPr defaultRowHeight="14.25"/>
  <cols>
    <col min="1" max="1" width="39.375" customWidth="1"/>
    <col min="2" max="2" width="29.25" bestFit="1" customWidth="1"/>
    <col min="3" max="3" width="5.625" bestFit="1" customWidth="1"/>
    <col min="4" max="4" width="5.75" bestFit="1" customWidth="1"/>
    <col min="5" max="5" width="28" bestFit="1" customWidth="1"/>
  </cols>
  <sheetData>
    <row r="9" spans="1:8" s="1" customFormat="1" ht="15">
      <c r="A9" s="1" t="s">
        <v>49</v>
      </c>
      <c r="B9" s="1" t="s">
        <v>19</v>
      </c>
      <c r="C9" s="1" t="s">
        <v>91</v>
      </c>
      <c r="D9" s="1" t="s">
        <v>13</v>
      </c>
      <c r="E9" s="1" t="s">
        <v>92</v>
      </c>
      <c r="F9" s="1" t="s">
        <v>93</v>
      </c>
      <c r="G9" s="1" t="s">
        <v>99</v>
      </c>
      <c r="H9" s="1" t="s">
        <v>100</v>
      </c>
    </row>
    <row r="10" spans="1:8">
      <c r="A10" t="s">
        <v>87</v>
      </c>
      <c r="B10" t="s">
        <v>88</v>
      </c>
      <c r="C10" t="s">
        <v>89</v>
      </c>
      <c r="D10">
        <v>1</v>
      </c>
      <c r="E10" t="s">
        <v>90</v>
      </c>
      <c r="F10">
        <v>0</v>
      </c>
      <c r="G10" s="21">
        <v>40970</v>
      </c>
    </row>
    <row r="11" spans="1:8">
      <c r="A11" t="s">
        <v>94</v>
      </c>
      <c r="B11" t="s">
        <v>95</v>
      </c>
      <c r="C11" t="s">
        <v>89</v>
      </c>
      <c r="D11">
        <v>1</v>
      </c>
      <c r="E11" t="s">
        <v>96</v>
      </c>
      <c r="F11">
        <v>0</v>
      </c>
      <c r="G11" s="21">
        <v>40970</v>
      </c>
    </row>
    <row r="12" spans="1:8">
      <c r="A12" t="s">
        <v>98</v>
      </c>
      <c r="B12" t="s">
        <v>101</v>
      </c>
      <c r="C12" t="s">
        <v>102</v>
      </c>
      <c r="D12">
        <v>1</v>
      </c>
      <c r="E12" t="s">
        <v>103</v>
      </c>
      <c r="F12">
        <v>0</v>
      </c>
      <c r="G12" s="21">
        <v>40969</v>
      </c>
    </row>
    <row r="13" spans="1:8">
      <c r="A13" t="s">
        <v>104</v>
      </c>
      <c r="B13" t="s">
        <v>105</v>
      </c>
      <c r="C13" t="s">
        <v>102</v>
      </c>
      <c r="D13">
        <v>1</v>
      </c>
      <c r="E13" t="s">
        <v>106</v>
      </c>
      <c r="F13">
        <v>0</v>
      </c>
      <c r="G13" s="21">
        <v>40970</v>
      </c>
    </row>
  </sheetData>
  <pageMargins left="0.7" right="0.7" top="0.75" bottom="0.75" header="0.3" footer="0.3"/>
  <pageSetup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>
  <sheetPr codeName="Sheet3"/>
  <dimension ref="A1:D35"/>
  <sheetViews>
    <sheetView topLeftCell="A10" workbookViewId="0">
      <selection activeCell="A23" sqref="A23"/>
    </sheetView>
  </sheetViews>
  <sheetFormatPr defaultRowHeight="14.25"/>
  <cols>
    <col min="1" max="1" width="32.375" bestFit="1" customWidth="1"/>
    <col min="2" max="2" width="51.125" bestFit="1" customWidth="1"/>
    <col min="3" max="3" width="69.625" bestFit="1" customWidth="1"/>
  </cols>
  <sheetData>
    <row r="1" spans="1:3" s="2" customFormat="1" ht="15">
      <c r="A1" s="3" t="s">
        <v>0</v>
      </c>
    </row>
    <row r="2" spans="1:3">
      <c r="A2">
        <v>1</v>
      </c>
      <c r="B2" t="s">
        <v>26</v>
      </c>
      <c r="C2" t="s">
        <v>28</v>
      </c>
    </row>
    <row r="3" spans="1:3">
      <c r="A3">
        <v>2</v>
      </c>
      <c r="B3" t="s">
        <v>27</v>
      </c>
    </row>
    <row r="4" spans="1:3" ht="15">
      <c r="A4" s="3" t="s">
        <v>33</v>
      </c>
    </row>
    <row r="5" spans="1:3">
      <c r="A5">
        <v>1</v>
      </c>
      <c r="B5" t="s">
        <v>34</v>
      </c>
    </row>
    <row r="6" spans="1:3" ht="28.5">
      <c r="A6">
        <v>2</v>
      </c>
      <c r="B6" s="5" t="s">
        <v>35</v>
      </c>
    </row>
    <row r="7" spans="1:3" ht="15">
      <c r="A7">
        <v>3</v>
      </c>
      <c r="B7" s="12" t="s">
        <v>42</v>
      </c>
    </row>
    <row r="8" spans="1:3" ht="15">
      <c r="A8" s="1" t="s">
        <v>46</v>
      </c>
    </row>
    <row r="9" spans="1:3">
      <c r="A9">
        <v>1</v>
      </c>
      <c r="B9" t="s">
        <v>47</v>
      </c>
    </row>
    <row r="10" spans="1:3">
      <c r="A10">
        <v>2</v>
      </c>
      <c r="B10" t="s">
        <v>48</v>
      </c>
    </row>
    <row r="11" spans="1:3" ht="15">
      <c r="A11" s="3" t="s">
        <v>58</v>
      </c>
    </row>
    <row r="12" spans="1:3">
      <c r="A12">
        <v>1</v>
      </c>
      <c r="B12" t="s">
        <v>60</v>
      </c>
    </row>
    <row r="13" spans="1:3" ht="42.75">
      <c r="A13">
        <v>2</v>
      </c>
      <c r="B13" s="5" t="s">
        <v>61</v>
      </c>
    </row>
    <row r="14" spans="1:3">
      <c r="B14" t="s">
        <v>68</v>
      </c>
    </row>
    <row r="15" spans="1:3" ht="15">
      <c r="A15" s="26" t="s">
        <v>73</v>
      </c>
    </row>
    <row r="16" spans="1:3">
      <c r="A16">
        <v>1</v>
      </c>
      <c r="B16" t="s">
        <v>74</v>
      </c>
    </row>
    <row r="18" spans="1:3" ht="15">
      <c r="A18" s="25" t="s">
        <v>120</v>
      </c>
    </row>
    <row r="19" spans="1:3">
      <c r="A19">
        <v>1</v>
      </c>
      <c r="B19" t="s">
        <v>121</v>
      </c>
    </row>
    <row r="20" spans="1:3">
      <c r="A20">
        <v>2</v>
      </c>
      <c r="B20" t="s">
        <v>122</v>
      </c>
    </row>
    <row r="23" spans="1:3" ht="15">
      <c r="A23" s="26" t="s">
        <v>130</v>
      </c>
      <c r="C23" t="s">
        <v>138</v>
      </c>
    </row>
    <row r="24" spans="1:3">
      <c r="A24">
        <v>1</v>
      </c>
      <c r="B24" t="s">
        <v>131</v>
      </c>
    </row>
    <row r="25" spans="1:3" ht="15">
      <c r="A25">
        <v>2</v>
      </c>
      <c r="B25" t="s">
        <v>132</v>
      </c>
      <c r="C25" s="12" t="s">
        <v>139</v>
      </c>
    </row>
    <row r="26" spans="1:3" ht="15">
      <c r="A26">
        <v>3</v>
      </c>
      <c r="B26" t="s">
        <v>133</v>
      </c>
      <c r="C26" s="12" t="s">
        <v>139</v>
      </c>
    </row>
    <row r="27" spans="1:3" ht="15">
      <c r="A27">
        <v>4</v>
      </c>
      <c r="B27" t="s">
        <v>134</v>
      </c>
      <c r="C27" s="12" t="s">
        <v>139</v>
      </c>
    </row>
    <row r="28" spans="1:3">
      <c r="A28">
        <v>5</v>
      </c>
      <c r="B28" t="s">
        <v>135</v>
      </c>
    </row>
    <row r="29" spans="1:3" ht="15">
      <c r="B29" t="s">
        <v>140</v>
      </c>
      <c r="C29" s="12" t="s">
        <v>136</v>
      </c>
    </row>
    <row r="31" spans="1:3">
      <c r="A31">
        <v>6</v>
      </c>
      <c r="B31" t="s">
        <v>143</v>
      </c>
    </row>
    <row r="32" spans="1:3">
      <c r="B32">
        <v>1</v>
      </c>
      <c r="C32" t="s">
        <v>144</v>
      </c>
    </row>
    <row r="33" spans="2:4" ht="15">
      <c r="B33">
        <v>2</v>
      </c>
      <c r="C33" t="s">
        <v>145</v>
      </c>
      <c r="D33" s="12" t="s">
        <v>149</v>
      </c>
    </row>
    <row r="34" spans="2:4">
      <c r="B34">
        <v>3</v>
      </c>
      <c r="C34" t="s">
        <v>146</v>
      </c>
      <c r="D34" t="s">
        <v>147</v>
      </c>
    </row>
    <row r="35" spans="2:4">
      <c r="B35" t="s">
        <v>148</v>
      </c>
    </row>
  </sheetData>
  <hyperlinks>
    <hyperlink ref="B7" r:id="rId1"/>
    <hyperlink ref="C25" r:id="rId2"/>
    <hyperlink ref="C26" r:id="rId3"/>
    <hyperlink ref="C27" r:id="rId4"/>
    <hyperlink ref="C29" r:id="rId5"/>
    <hyperlink ref="D33" r:id="rId6"/>
  </hyperlinks>
  <pageMargins left="0.7" right="0.7" top="0.75" bottom="0.75" header="0.3" footer="0.3"/>
  <pageSetup orientation="portrait" r:id="rId7"/>
</worksheet>
</file>

<file path=xl/worksheets/sheet5.xml><?xml version="1.0" encoding="utf-8"?>
<worksheet xmlns="http://schemas.openxmlformats.org/spreadsheetml/2006/main" xmlns:r="http://schemas.openxmlformats.org/officeDocument/2006/relationships">
  <dimension ref="A6:C10"/>
  <sheetViews>
    <sheetView workbookViewId="0">
      <selection activeCell="B9" sqref="B9"/>
    </sheetView>
  </sheetViews>
  <sheetFormatPr defaultRowHeight="14.25"/>
  <cols>
    <col min="1" max="1" width="20.875" bestFit="1" customWidth="1"/>
    <col min="2" max="2" width="49.375" bestFit="1" customWidth="1"/>
  </cols>
  <sheetData>
    <row r="6" spans="1:3">
      <c r="A6" t="s">
        <v>84</v>
      </c>
      <c r="B6" t="s">
        <v>19</v>
      </c>
      <c r="C6" t="s">
        <v>86</v>
      </c>
    </row>
    <row r="7" spans="1:3">
      <c r="A7" t="s">
        <v>78</v>
      </c>
      <c r="B7" t="s">
        <v>85</v>
      </c>
    </row>
    <row r="8" spans="1:3">
      <c r="A8" t="s">
        <v>79</v>
      </c>
      <c r="B8" t="s">
        <v>82</v>
      </c>
    </row>
    <row r="9" spans="1:3">
      <c r="A9" t="s">
        <v>81</v>
      </c>
      <c r="B9" t="s">
        <v>80</v>
      </c>
    </row>
    <row r="10" spans="1:3">
      <c r="A10" t="s">
        <v>83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5</vt:i4>
      </vt:variant>
    </vt:vector>
  </HeadingPairs>
  <TitlesOfParts>
    <vt:vector size="5" baseType="lpstr">
      <vt:lpstr>Tasks</vt:lpstr>
      <vt:lpstr>Important rating</vt:lpstr>
      <vt:lpstr>Bug report</vt:lpstr>
      <vt:lpstr>Resolutions</vt:lpstr>
      <vt:lpstr>Check list before publish</vt:lpstr>
    </vt:vector>
  </TitlesOfParts>
  <Company/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>Welcome</cp:lastModifiedBy>
  <dcterms:created xsi:type="dcterms:W3CDTF">2006-09-16T00:00:00Z</dcterms:created>
  <dcterms:modified xsi:type="dcterms:W3CDTF">2012-06-06T03:35:52Z</dcterms:modified>
</cp:coreProperties>
</file>